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err\Downloads\"/>
    </mc:Choice>
  </mc:AlternateContent>
  <xr:revisionPtr revIDLastSave="0" documentId="13_ncr:1_{F423FF66-378C-422F-AA35-5E1EA03EA16C}" xr6:coauthVersionLast="47" xr6:coauthVersionMax="47" xr10:uidLastSave="{00000000-0000-0000-0000-000000000000}"/>
  <bookViews>
    <workbookView xWindow="-108" yWindow="-108" windowWidth="23256" windowHeight="13176" activeTab="1" xr2:uid="{BD3A8F36-A940-45C6-821A-C3697B881E29}"/>
  </bookViews>
  <sheets>
    <sheet name="Hoja1" sheetId="1" r:id="rId1"/>
    <sheet name="Hoja3" sheetId="3" r:id="rId2"/>
  </sheets>
  <definedNames>
    <definedName name="_xlnm._FilterDatabase" localSheetId="1" hidden="1">Hoja3!$A$1:$U$60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3" l="1"/>
  <c r="O29" i="3"/>
  <c r="O28" i="3"/>
  <c r="O26" i="3"/>
  <c r="O27" i="3"/>
  <c r="O34" i="3"/>
  <c r="O25" i="3"/>
</calcChain>
</file>

<file path=xl/sharedStrings.xml><?xml version="1.0" encoding="utf-8"?>
<sst xmlns="http://schemas.openxmlformats.org/spreadsheetml/2006/main" count="677" uniqueCount="220">
  <si>
    <t>ID-CAMPO</t>
  </si>
  <si>
    <t>ID-LABORATORIO</t>
  </si>
  <si>
    <t>SITIO</t>
  </si>
  <si>
    <t>FECHA</t>
  </si>
  <si>
    <t>OBSERVACIONES</t>
  </si>
  <si>
    <t>Hembra 11</t>
  </si>
  <si>
    <t>Hembra 55</t>
  </si>
  <si>
    <t>Hembra 77</t>
  </si>
  <si>
    <t>Hembra 25</t>
  </si>
  <si>
    <t>Macho 26</t>
  </si>
  <si>
    <t>Hembra 29</t>
  </si>
  <si>
    <t>Hembra 30</t>
  </si>
  <si>
    <t>Hembra 32</t>
  </si>
  <si>
    <t>Macho 35</t>
  </si>
  <si>
    <t>Hembra 36</t>
  </si>
  <si>
    <t>Macho 39</t>
  </si>
  <si>
    <t>s/dato</t>
  </si>
  <si>
    <t>Macho 1</t>
  </si>
  <si>
    <t>Hembra 82</t>
  </si>
  <si>
    <t>Hembra 23</t>
  </si>
  <si>
    <t>Macho 38</t>
  </si>
  <si>
    <t>Macho 45</t>
  </si>
  <si>
    <t>Macho 116</t>
  </si>
  <si>
    <t>Hembra 117</t>
  </si>
  <si>
    <t>Macho 118</t>
  </si>
  <si>
    <t>Macho 120</t>
  </si>
  <si>
    <t>Hembra 121</t>
  </si>
  <si>
    <t>Hembra 122</t>
  </si>
  <si>
    <t>Hembra 125</t>
  </si>
  <si>
    <t>Hembra 127</t>
  </si>
  <si>
    <t>Hembra 128</t>
  </si>
  <si>
    <t>Hembra 130</t>
  </si>
  <si>
    <t>Hembra 132</t>
  </si>
  <si>
    <t>Hembra 133</t>
  </si>
  <si>
    <t>Macho 139</t>
  </si>
  <si>
    <t>Hembra 143</t>
  </si>
  <si>
    <t>Hembra 144</t>
  </si>
  <si>
    <t>Macho 146</t>
  </si>
  <si>
    <t>Hembra 48</t>
  </si>
  <si>
    <t>Hembra 98</t>
  </si>
  <si>
    <t>Macho 58</t>
  </si>
  <si>
    <t>Macho 99</t>
  </si>
  <si>
    <t>Macho 92</t>
  </si>
  <si>
    <t>Macho 63</t>
  </si>
  <si>
    <t>Macho 108</t>
  </si>
  <si>
    <t>Hembra 106</t>
  </si>
  <si>
    <t>Hembra 86</t>
  </si>
  <si>
    <t>Macho 1212</t>
  </si>
  <si>
    <t>Macho 91</t>
  </si>
  <si>
    <t>Macho 167</t>
  </si>
  <si>
    <t>Hembra 110</t>
  </si>
  <si>
    <t>Tlaxcala</t>
  </si>
  <si>
    <t>PESO (g)</t>
  </si>
  <si>
    <t>Puebla</t>
  </si>
  <si>
    <t>CDMX</t>
  </si>
  <si>
    <r>
      <t>Eluido solo a 50</t>
    </r>
    <r>
      <rPr>
        <sz val="11"/>
        <color theme="1"/>
        <rFont val="Aptos"/>
        <family val="2"/>
        <charset val="1"/>
      </rPr>
      <t>μl por lisozima</t>
    </r>
  </si>
  <si>
    <t>Muestra húmeda en tubo de  tapa rota</t>
  </si>
  <si>
    <t>Muestra demasiado pequeña y amarilla</t>
  </si>
  <si>
    <t>Hembra 114</t>
  </si>
  <si>
    <t>Muestra con insecto alado grande</t>
  </si>
  <si>
    <t xml:space="preserve">Muestra con pellet blanco </t>
  </si>
  <si>
    <t>No salió en electroforesis</t>
  </si>
  <si>
    <t>C</t>
  </si>
  <si>
    <t>M</t>
  </si>
  <si>
    <t>AM-G</t>
  </si>
  <si>
    <t>ARBOL</t>
  </si>
  <si>
    <t>NA</t>
  </si>
  <si>
    <t>19°23´47"</t>
  </si>
  <si>
    <t>98°17´50"</t>
  </si>
  <si>
    <t>HG</t>
  </si>
  <si>
    <t>H</t>
  </si>
  <si>
    <t>19°23´49"</t>
  </si>
  <si>
    <t>98°17´56"</t>
  </si>
  <si>
    <t>TRONCO</t>
  </si>
  <si>
    <t>19°23´50"</t>
  </si>
  <si>
    <t>98°17´58"</t>
  </si>
  <si>
    <t>TOCON</t>
  </si>
  <si>
    <t>ROCA</t>
  </si>
  <si>
    <t>19°23´42"</t>
  </si>
  <si>
    <t>98°17´51"</t>
  </si>
  <si>
    <t>AM</t>
  </si>
  <si>
    <t>19°21´57"</t>
  </si>
  <si>
    <t>98°16´43"</t>
  </si>
  <si>
    <t>19°21´58"</t>
  </si>
  <si>
    <t>AN-G</t>
  </si>
  <si>
    <t>19°21´59"</t>
  </si>
  <si>
    <t>19°21´56"</t>
  </si>
  <si>
    <t>G</t>
  </si>
  <si>
    <t>R</t>
  </si>
  <si>
    <t>19°19´46"</t>
  </si>
  <si>
    <t>LADRILLO</t>
  </si>
  <si>
    <t>BARDA</t>
  </si>
  <si>
    <t>19°16´98"</t>
  </si>
  <si>
    <t>98°12´28"</t>
  </si>
  <si>
    <t>LAMINA</t>
  </si>
  <si>
    <t>TABLA</t>
  </si>
  <si>
    <t>19°18´07"</t>
  </si>
  <si>
    <t>98°14´39"</t>
  </si>
  <si>
    <t>TABLÓN</t>
  </si>
  <si>
    <t>19°25´47"</t>
  </si>
  <si>
    <t>98°12´27"</t>
  </si>
  <si>
    <t>U</t>
  </si>
  <si>
    <t>19°05´03"</t>
  </si>
  <si>
    <t>98°14´15"</t>
  </si>
  <si>
    <t>G-AN</t>
  </si>
  <si>
    <t>G-AM</t>
  </si>
  <si>
    <t>19°01´50"</t>
  </si>
  <si>
    <t>98°06´48"</t>
  </si>
  <si>
    <t>19°01´40"</t>
  </si>
  <si>
    <t>19°21´35"</t>
  </si>
  <si>
    <t>99°07´14"</t>
  </si>
  <si>
    <t>AN</t>
  </si>
  <si>
    <t>19°21´14"</t>
  </si>
  <si>
    <t>99°10´17"</t>
  </si>
  <si>
    <t>19°21´19"</t>
  </si>
  <si>
    <t>99°10´18"</t>
  </si>
  <si>
    <t>19°21´09"</t>
  </si>
  <si>
    <t>19°21´12"</t>
  </si>
  <si>
    <t>99°10´19"</t>
  </si>
  <si>
    <t>99°10´22"</t>
  </si>
  <si>
    <t>19°21´10"</t>
  </si>
  <si>
    <t>99°10´31"</t>
  </si>
  <si>
    <t>19°21´44"</t>
  </si>
  <si>
    <t>99°06´55"</t>
  </si>
  <si>
    <t>YUCA</t>
  </si>
  <si>
    <t>19°19´14"</t>
  </si>
  <si>
    <t>99°11´37"</t>
  </si>
  <si>
    <t>19°19´23"</t>
  </si>
  <si>
    <t>99°11´34"</t>
  </si>
  <si>
    <t>19°20´35"</t>
  </si>
  <si>
    <t>99°05´41"</t>
  </si>
  <si>
    <t>PALOS</t>
  </si>
  <si>
    <t>BARDA ROCA</t>
  </si>
  <si>
    <t>19°19´48"</t>
  </si>
  <si>
    <t>98°11´12"</t>
  </si>
  <si>
    <t>19°19´51"</t>
  </si>
  <si>
    <t>98°11´14"</t>
  </si>
  <si>
    <t>98°11´11"</t>
  </si>
  <si>
    <t>19°05´40"</t>
  </si>
  <si>
    <t>98°14´03"</t>
  </si>
  <si>
    <t>ROCAS</t>
  </si>
  <si>
    <t>19°23´51"</t>
  </si>
  <si>
    <t>98°15´47"</t>
  </si>
  <si>
    <t>19°23´23"</t>
  </si>
  <si>
    <t>98°15´18"</t>
  </si>
  <si>
    <t>19°19´53"</t>
  </si>
  <si>
    <t>98°12´54"</t>
  </si>
  <si>
    <t>19°17´24"</t>
  </si>
  <si>
    <t>98°14´13"</t>
  </si>
  <si>
    <t>AMG</t>
  </si>
  <si>
    <t>ID</t>
  </si>
  <si>
    <t>ZONA</t>
  </si>
  <si>
    <t>Fecha</t>
  </si>
  <si>
    <t>No. Campo</t>
  </si>
  <si>
    <t>Hora</t>
  </si>
  <si>
    <t>Sex</t>
  </si>
  <si>
    <t>Morfo</t>
  </si>
  <si>
    <t>TC</t>
  </si>
  <si>
    <t>TA</t>
  </si>
  <si>
    <t>TS</t>
  </si>
  <si>
    <t>Percha</t>
  </si>
  <si>
    <t>Masa</t>
  </si>
  <si>
    <t>LHC</t>
  </si>
  <si>
    <t>Cola</t>
  </si>
  <si>
    <t>LT</t>
  </si>
  <si>
    <t>Regeneración</t>
  </si>
  <si>
    <t>Cabeza</t>
  </si>
  <si>
    <t>Coordenadas</t>
  </si>
  <si>
    <t>Elevación</t>
  </si>
  <si>
    <t>Ancho</t>
  </si>
  <si>
    <t>Alto</t>
  </si>
  <si>
    <t>N</t>
  </si>
  <si>
    <t>W</t>
  </si>
  <si>
    <t>19°16´19"</t>
  </si>
  <si>
    <t>98°12´25"</t>
  </si>
  <si>
    <t>19°17´45"</t>
  </si>
  <si>
    <t>98°14´28"</t>
  </si>
  <si>
    <t>BARDA TIERRA</t>
  </si>
  <si>
    <t>19°19´21"</t>
  </si>
  <si>
    <t>98°14´48"</t>
  </si>
  <si>
    <t>LADRILLOS</t>
  </si>
  <si>
    <t>Peso Heces</t>
  </si>
  <si>
    <t>Observaciones</t>
  </si>
  <si>
    <t>19°22´33"</t>
  </si>
  <si>
    <t>98°17´04"</t>
  </si>
  <si>
    <t>19°23´01"</t>
  </si>
  <si>
    <t>98°17´28"</t>
  </si>
  <si>
    <t>19°17´13"</t>
  </si>
  <si>
    <t>98°12´45"</t>
  </si>
  <si>
    <t>junto a la calle</t>
  </si>
  <si>
    <t>19°25´25"</t>
  </si>
  <si>
    <t>98°12´37"</t>
  </si>
  <si>
    <t>juntoa la calle</t>
  </si>
  <si>
    <t>19°07´43"</t>
  </si>
  <si>
    <t>98°07´43"</t>
  </si>
  <si>
    <t>19°05´39"</t>
  </si>
  <si>
    <t>98°13´58"</t>
  </si>
  <si>
    <t>98°11´17"</t>
  </si>
  <si>
    <t>19°19´19"</t>
  </si>
  <si>
    <t>98°14´49"</t>
  </si>
  <si>
    <t>19°19´43"</t>
  </si>
  <si>
    <t>98°12´55"</t>
  </si>
  <si>
    <t>19°19´50"</t>
  </si>
  <si>
    <t>98°12´57"</t>
  </si>
  <si>
    <t>19°19´49"</t>
  </si>
  <si>
    <t>98°12´58"</t>
  </si>
  <si>
    <t>98°12´59"</t>
  </si>
  <si>
    <t>19°22´59"</t>
  </si>
  <si>
    <t>98°16´20"</t>
  </si>
  <si>
    <t>19°21´15"</t>
  </si>
  <si>
    <t>98°10´24"</t>
  </si>
  <si>
    <t>98°11´50"</t>
  </si>
  <si>
    <t>19°20´25"</t>
  </si>
  <si>
    <t>98°05´44"</t>
  </si>
  <si>
    <t>19°16´07"</t>
  </si>
  <si>
    <t>98°11´53"</t>
  </si>
  <si>
    <t>Coordenadas urbano</t>
  </si>
  <si>
    <t>98°14´41"</t>
  </si>
  <si>
    <t>19°19´20"</t>
  </si>
  <si>
    <t>98°14´38"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</si>
</sst>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20" fontId="4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216090</xdr:colOff>
      <xdr:row>0</xdr:row>
      <xdr:rowOff>9820</xdr:rowOff>
    </xdr:from>
    <xdr:to>
      <xdr:col>13</xdr:col>
      <xdr:colOff>295702</xdr:colOff>
      <xdr:row>9</xdr:row>
      <xdr:rowOff>143287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B1162-401F-6CA7-84C5-DF2C0F41D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307" b="53377"/>
        <a:stretch/>
      </xdr:blipFill>
      <xdr:spPr>
        <a:xfrm>
          <a:off x="6585045" y="9820"/>
          <a:ext cx="4060209" cy="1771198"/>
        </a:xfrm>
        <a:prstGeom prst="rect">
          <a:avLst/>
        </a:prstGeom>
      </xdr:spPr>
    </xdr:pic>
    <xdr:clientData/>
  </xdr:twoCellAnchor>
  <xdr:twoCellAnchor editAs="oneCell">
    <xdr:from>
      <xdr:col>8</xdr:col>
      <xdr:colOff>205142</xdr:colOff>
      <xdr:row>10</xdr:row>
      <xdr:rowOff>50588</xdr:rowOff>
    </xdr:from>
    <xdr:to>
      <xdr:col>13</xdr:col>
      <xdr:colOff>216090</xdr:colOff>
      <xdr:row>18</xdr:row>
      <xdr:rowOff>164560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80EEC4-2113-79F8-3160-AFDD487AC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76" t="20044" r="25658" b="56448"/>
        <a:stretch/>
      </xdr:blipFill>
      <xdr:spPr>
        <a:xfrm>
          <a:off x="6574097" y="1870289"/>
          <a:ext cx="3991545" cy="1569734"/>
        </a:xfrm>
        <a:prstGeom prst="rect">
          <a:avLst/>
        </a:prstGeom>
      </xdr:spPr>
    </xdr:pic>
    <xdr:clientData/>
  </xdr:twoCellAnchor>
  <xdr:twoCellAnchor editAs="oneCell">
    <xdr:from>
      <xdr:col>8</xdr:col>
      <xdr:colOff>239940</xdr:colOff>
      <xdr:row>19</xdr:row>
      <xdr:rowOff>56867</xdr:rowOff>
    </xdr:from>
    <xdr:to>
      <xdr:col>13</xdr:col>
      <xdr:colOff>193345</xdr:colOff>
      <xdr:row>29</xdr:row>
      <xdr:rowOff>60602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6D3C76-C92D-142A-5894-774FC5B012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22" t="55556" r="23093" b="15686"/>
        <a:stretch/>
      </xdr:blipFill>
      <xdr:spPr>
        <a:xfrm>
          <a:off x="6608895" y="3514300"/>
          <a:ext cx="3934002" cy="1823436"/>
        </a:xfrm>
        <a:prstGeom prst="rect">
          <a:avLst/>
        </a:prstGeom>
      </xdr:spPr>
    </xdr:pic>
    <xdr:clientData/>
  </xdr:twoCellAnchor>
  <xdr:twoCellAnchor editAs="oneCell">
    <xdr:from>
      <xdr:col>8</xdr:col>
      <xdr:colOff>233897</xdr:colOff>
      <xdr:row>30</xdr:row>
      <xdr:rowOff>127000</xdr:rowOff>
    </xdr:from>
    <xdr:to>
      <xdr:col>13</xdr:col>
      <xdr:colOff>254000</xdr:colOff>
      <xdr:row>44</xdr:row>
      <xdr:rowOff>58878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6920A3-AA75-3B21-181B-D41900DF9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4" t="2887" r="34644" b="59461"/>
        <a:stretch/>
      </xdr:blipFill>
      <xdr:spPr>
        <a:xfrm>
          <a:off x="6499230" y="5842000"/>
          <a:ext cx="3935937" cy="2598878"/>
        </a:xfrm>
        <a:prstGeom prst="rect">
          <a:avLst/>
        </a:prstGeom>
      </xdr:spPr>
    </xdr:pic>
    <xdr:clientData/>
  </xdr:twoCellAnchor>
  <xdr:twoCellAnchor editAs="oneCell">
    <xdr:from>
      <xdr:col>8</xdr:col>
      <xdr:colOff>245270</xdr:colOff>
      <xdr:row>45</xdr:row>
      <xdr:rowOff>117378</xdr:rowOff>
    </xdr:from>
    <xdr:to>
      <xdr:col>13</xdr:col>
      <xdr:colOff>275165</xdr:colOff>
      <xdr:row>59</xdr:row>
      <xdr:rowOff>178157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B225C26-A687-4D55-23EA-A6454D5E7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50356" r="25580" b="13548"/>
        <a:stretch/>
      </xdr:blipFill>
      <xdr:spPr>
        <a:xfrm>
          <a:off x="6510603" y="8689878"/>
          <a:ext cx="3945729" cy="2727779"/>
        </a:xfrm>
        <a:prstGeom prst="rect">
          <a:avLst/>
        </a:prstGeom>
      </xdr:spPr>
    </xdr:pic>
    <xdr:clientData/>
  </xdr:twoCellAnchor>
  <xdr:twoCellAnchor editAs="oneCell">
    <xdr:from>
      <xdr:col>14</xdr:col>
      <xdr:colOff>399554</xdr:colOff>
      <xdr:row>0</xdr:row>
      <xdr:rowOff>0</xdr:rowOff>
    </xdr:from>
    <xdr:to>
      <xdr:col>19</xdr:col>
      <xdr:colOff>232833</xdr:colOff>
      <xdr:row>12</xdr:row>
      <xdr:rowOff>35180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FA323FD-2F54-C0B3-CCA3-D9EEEB6D6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0" t="6862" r="9983" b="28887"/>
        <a:stretch/>
      </xdr:blipFill>
      <xdr:spPr>
        <a:xfrm>
          <a:off x="11363887" y="0"/>
          <a:ext cx="3749113" cy="232118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13</xdr:row>
      <xdr:rowOff>96212</xdr:rowOff>
    </xdr:from>
    <xdr:to>
      <xdr:col>19</xdr:col>
      <xdr:colOff>359833</xdr:colOff>
      <xdr:row>25</xdr:row>
      <xdr:rowOff>2636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F774125-B57D-23E0-056B-ADA7E34DD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9" t="13681" r="5081" b="16392"/>
        <a:stretch/>
      </xdr:blipFill>
      <xdr:spPr>
        <a:xfrm>
          <a:off x="11345333" y="2572712"/>
          <a:ext cx="3894667" cy="2185368"/>
        </a:xfrm>
        <a:prstGeom prst="rect">
          <a:avLst/>
        </a:prstGeom>
      </xdr:spPr>
    </xdr:pic>
    <xdr:clientData/>
  </xdr:twoCellAnchor>
  <xdr:twoCellAnchor editAs="oneCell">
    <xdr:from>
      <xdr:col>14</xdr:col>
      <xdr:colOff>342516</xdr:colOff>
      <xdr:row>27</xdr:row>
      <xdr:rowOff>53877</xdr:rowOff>
    </xdr:from>
    <xdr:to>
      <xdr:col>19</xdr:col>
      <xdr:colOff>516847</xdr:colOff>
      <xdr:row>38</xdr:row>
      <xdr:rowOff>127000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CC5412C-BA24-B5DD-045F-886C47868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15" t="57932" r="623" b="1516"/>
        <a:stretch/>
      </xdr:blipFill>
      <xdr:spPr>
        <a:xfrm>
          <a:off x="11306849" y="5197377"/>
          <a:ext cx="4090165" cy="2168623"/>
        </a:xfrm>
        <a:prstGeom prst="rect">
          <a:avLst/>
        </a:prstGeom>
      </xdr:spPr>
    </xdr:pic>
    <xdr:clientData/>
  </xdr:twoCellAnchor>
  <xdr:twoCellAnchor editAs="oneCell">
    <xdr:from>
      <xdr:col>14</xdr:col>
      <xdr:colOff>203969</xdr:colOff>
      <xdr:row>45</xdr:row>
      <xdr:rowOff>132772</xdr:rowOff>
    </xdr:from>
    <xdr:to>
      <xdr:col>17</xdr:col>
      <xdr:colOff>63500</xdr:colOff>
      <xdr:row>59</xdr:row>
      <xdr:rowOff>14345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4CE7391-C4DF-A395-8893-50B88A0D6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781" t="891" r="15775" b="50980"/>
        <a:stretch/>
      </xdr:blipFill>
      <xdr:spPr>
        <a:xfrm>
          <a:off x="11168302" y="8705272"/>
          <a:ext cx="2209031" cy="2548573"/>
        </a:xfrm>
        <a:prstGeom prst="rect">
          <a:avLst/>
        </a:prstGeom>
      </xdr:spPr>
    </xdr:pic>
    <xdr:clientData/>
  </xdr:twoCellAnchor>
  <xdr:twoCellAnchor editAs="oneCell">
    <xdr:from>
      <xdr:col>8</xdr:col>
      <xdr:colOff>246136</xdr:colOff>
      <xdr:row>0</xdr:row>
      <xdr:rowOff>19836</xdr:rowOff>
    </xdr:from>
    <xdr:to>
      <xdr:col>13</xdr:col>
      <xdr:colOff>325748</xdr:colOff>
      <xdr:row>9</xdr:row>
      <xdr:rowOff>153303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8C9220-2623-BE3A-BF1B-1BC2662E0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307" b="53377"/>
        <a:stretch/>
      </xdr:blipFill>
      <xdr:spPr>
        <a:xfrm>
          <a:off x="7136685" y="19836"/>
          <a:ext cx="4386206" cy="1846089"/>
        </a:xfrm>
        <a:prstGeom prst="rect">
          <a:avLst/>
        </a:prstGeom>
      </xdr:spPr>
    </xdr:pic>
    <xdr:clientData/>
  </xdr:twoCellAnchor>
  <xdr:twoCellAnchor editAs="oneCell">
    <xdr:from>
      <xdr:col>8</xdr:col>
      <xdr:colOff>235188</xdr:colOff>
      <xdr:row>10</xdr:row>
      <xdr:rowOff>60604</xdr:rowOff>
    </xdr:from>
    <xdr:to>
      <xdr:col>13</xdr:col>
      <xdr:colOff>246136</xdr:colOff>
      <xdr:row>18</xdr:row>
      <xdr:rowOff>174576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15B601-C990-A8D9-45B4-970E01A22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76" t="20044" r="25658" b="56448"/>
        <a:stretch/>
      </xdr:blipFill>
      <xdr:spPr>
        <a:xfrm>
          <a:off x="7125737" y="1963517"/>
          <a:ext cx="4317542" cy="1636304"/>
        </a:xfrm>
        <a:prstGeom prst="rect">
          <a:avLst/>
        </a:prstGeom>
      </xdr:spPr>
    </xdr:pic>
    <xdr:clientData/>
  </xdr:twoCellAnchor>
  <xdr:twoCellAnchor editAs="oneCell">
    <xdr:from>
      <xdr:col>14</xdr:col>
      <xdr:colOff>429600</xdr:colOff>
      <xdr:row>0</xdr:row>
      <xdr:rowOff>10016</xdr:rowOff>
    </xdr:from>
    <xdr:to>
      <xdr:col>19</xdr:col>
      <xdr:colOff>262879</xdr:colOff>
      <xdr:row>12</xdr:row>
      <xdr:rowOff>45196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7760F9-4BB7-6C11-E4FD-C742CC12F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0" t="6862" r="9983" b="28887"/>
        <a:stretch/>
      </xdr:blipFill>
      <xdr:spPr>
        <a:xfrm>
          <a:off x="12488063" y="10016"/>
          <a:ext cx="4139871" cy="2318676"/>
        </a:xfrm>
        <a:prstGeom prst="rect">
          <a:avLst/>
        </a:prstGeom>
      </xdr:spPr>
    </xdr:pic>
    <xdr:clientData/>
  </xdr:twoCellAnchor>
  <xdr:twoCellAnchor editAs="oneCell">
    <xdr:from>
      <xdr:col>14</xdr:col>
      <xdr:colOff>411046</xdr:colOff>
      <xdr:row>13</xdr:row>
      <xdr:rowOff>106228</xdr:rowOff>
    </xdr:from>
    <xdr:to>
      <xdr:col>19</xdr:col>
      <xdr:colOff>389879</xdr:colOff>
      <xdr:row>25</xdr:row>
      <xdr:rowOff>12652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9E2DCF-372B-2E02-C02B-3C0C69945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9" t="13681" r="5081" b="16392"/>
        <a:stretch/>
      </xdr:blipFill>
      <xdr:spPr>
        <a:xfrm>
          <a:off x="12469509" y="2580016"/>
          <a:ext cx="4285425" cy="2189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3A65-F9A8-4560-BA4C-35CAC495CEBC}">
  <dimension ref="A1:F61"/>
  <sheetViews>
    <sheetView topLeftCell="A11" zoomScale="83" workbookViewId="0">
      <selection activeCell="A24" sqref="A24:F24"/>
    </sheetView>
  </sheetViews>
  <sheetFormatPr baseColWidth="10" defaultRowHeight="13.8"/>
  <cols>
    <col min="2" max="2" width="11.59765625" style="1"/>
  </cols>
  <sheetData>
    <row r="1" spans="1:6">
      <c r="A1" t="s">
        <v>1</v>
      </c>
      <c r="B1" s="1" t="s">
        <v>0</v>
      </c>
      <c r="C1" t="s">
        <v>2</v>
      </c>
      <c r="D1" t="s">
        <v>3</v>
      </c>
      <c r="E1" t="s">
        <v>52</v>
      </c>
      <c r="F1" t="s">
        <v>4</v>
      </c>
    </row>
    <row r="2" spans="1:6">
      <c r="A2" s="5">
        <v>1</v>
      </c>
      <c r="B2" s="2">
        <v>10</v>
      </c>
      <c r="C2" t="s">
        <v>51</v>
      </c>
      <c r="D2" s="3">
        <v>45292</v>
      </c>
      <c r="E2">
        <v>3.5000000000000003E-2</v>
      </c>
    </row>
    <row r="3" spans="1:6">
      <c r="A3" s="5">
        <v>2</v>
      </c>
      <c r="B3" s="8" t="s">
        <v>16</v>
      </c>
      <c r="C3" t="s">
        <v>51</v>
      </c>
      <c r="D3" s="3">
        <v>45292</v>
      </c>
      <c r="E3">
        <v>2.8000000000000001E-2</v>
      </c>
    </row>
    <row r="4" spans="1:6">
      <c r="A4" s="5">
        <v>3</v>
      </c>
      <c r="B4" s="2" t="s">
        <v>17</v>
      </c>
      <c r="C4" t="s">
        <v>51</v>
      </c>
      <c r="D4" s="3">
        <v>45292</v>
      </c>
      <c r="E4">
        <v>2.1000000000000001E-2</v>
      </c>
    </row>
    <row r="5" spans="1:6">
      <c r="A5" s="5">
        <v>4</v>
      </c>
      <c r="B5" s="2">
        <v>2</v>
      </c>
      <c r="C5" t="s">
        <v>51</v>
      </c>
      <c r="D5" s="3">
        <v>45292</v>
      </c>
      <c r="E5">
        <v>2.8000000000000001E-2</v>
      </c>
    </row>
    <row r="6" spans="1:6">
      <c r="A6" s="5">
        <v>5</v>
      </c>
      <c r="B6" s="2" t="s">
        <v>18</v>
      </c>
      <c r="C6" t="s">
        <v>51</v>
      </c>
      <c r="D6" s="4">
        <v>45308</v>
      </c>
      <c r="E6">
        <v>4.2999999999999997E-2</v>
      </c>
    </row>
    <row r="7" spans="1:6">
      <c r="A7" s="5">
        <v>6</v>
      </c>
      <c r="B7" s="2" t="s">
        <v>19</v>
      </c>
      <c r="C7" t="s">
        <v>51</v>
      </c>
      <c r="D7" s="4">
        <v>45308</v>
      </c>
      <c r="E7">
        <v>4.9000000000000002E-2</v>
      </c>
    </row>
    <row r="8" spans="1:6">
      <c r="A8" s="5">
        <v>7</v>
      </c>
      <c r="B8" s="8" t="s">
        <v>16</v>
      </c>
      <c r="C8" t="s">
        <v>51</v>
      </c>
      <c r="D8" s="3">
        <v>45292</v>
      </c>
      <c r="E8">
        <v>6.8000000000000005E-2</v>
      </c>
    </row>
    <row r="9" spans="1:6">
      <c r="A9" s="6">
        <v>8</v>
      </c>
      <c r="B9" s="2">
        <v>5</v>
      </c>
      <c r="C9" t="s">
        <v>51</v>
      </c>
      <c r="D9" s="3">
        <v>45292</v>
      </c>
      <c r="E9">
        <v>1.4999999999999999E-2</v>
      </c>
    </row>
    <row r="10" spans="1:6">
      <c r="A10" s="6">
        <v>9</v>
      </c>
      <c r="B10" s="2">
        <v>7</v>
      </c>
      <c r="C10" t="s">
        <v>51</v>
      </c>
      <c r="D10" s="3">
        <v>45292</v>
      </c>
      <c r="E10">
        <v>1.2E-2</v>
      </c>
    </row>
    <row r="11" spans="1:6">
      <c r="A11" s="6">
        <v>10</v>
      </c>
      <c r="B11" s="2">
        <v>8</v>
      </c>
      <c r="C11" t="s">
        <v>51</v>
      </c>
      <c r="D11" s="3">
        <v>45292</v>
      </c>
      <c r="E11">
        <v>3.1E-2</v>
      </c>
    </row>
    <row r="12" spans="1:6">
      <c r="A12" s="5">
        <v>11</v>
      </c>
      <c r="B12" s="2" t="s">
        <v>5</v>
      </c>
      <c r="C12" t="s">
        <v>51</v>
      </c>
      <c r="D12" s="3">
        <v>45292</v>
      </c>
      <c r="E12">
        <v>7.0000000000000007E-2</v>
      </c>
    </row>
    <row r="13" spans="1:6">
      <c r="A13" s="5">
        <v>12</v>
      </c>
      <c r="B13" s="8">
        <v>13</v>
      </c>
      <c r="C13" t="s">
        <v>51</v>
      </c>
      <c r="D13" s="3">
        <v>45292</v>
      </c>
      <c r="E13">
        <v>2.7E-2</v>
      </c>
    </row>
    <row r="14" spans="1:6">
      <c r="A14" s="6">
        <v>13</v>
      </c>
      <c r="B14" s="2" t="s">
        <v>8</v>
      </c>
      <c r="C14" t="s">
        <v>51</v>
      </c>
      <c r="D14" s="4">
        <v>45308</v>
      </c>
      <c r="E14">
        <v>2.1000000000000001E-2</v>
      </c>
    </row>
    <row r="15" spans="1:6">
      <c r="A15" s="5">
        <v>14</v>
      </c>
      <c r="B15" s="2" t="s">
        <v>9</v>
      </c>
      <c r="C15" t="s">
        <v>51</v>
      </c>
      <c r="D15" s="4">
        <v>45308</v>
      </c>
      <c r="E15">
        <v>1.7999999999999999E-2</v>
      </c>
    </row>
    <row r="16" spans="1:6">
      <c r="A16" s="5">
        <v>15</v>
      </c>
      <c r="B16" s="2" t="s">
        <v>10</v>
      </c>
      <c r="C16" t="s">
        <v>51</v>
      </c>
      <c r="D16" s="4">
        <v>45308</v>
      </c>
      <c r="E16">
        <v>0.01</v>
      </c>
    </row>
    <row r="17" spans="1:6">
      <c r="A17" s="5">
        <v>16</v>
      </c>
      <c r="B17" s="2" t="s">
        <v>11</v>
      </c>
      <c r="C17" t="s">
        <v>51</v>
      </c>
      <c r="D17" s="4">
        <v>45308</v>
      </c>
      <c r="E17">
        <v>1.7999999999999999E-2</v>
      </c>
    </row>
    <row r="18" spans="1:6">
      <c r="A18" s="5">
        <v>17</v>
      </c>
      <c r="B18" s="2" t="s">
        <v>12</v>
      </c>
      <c r="C18" t="s">
        <v>51</v>
      </c>
      <c r="D18" s="4">
        <v>45308</v>
      </c>
      <c r="E18">
        <v>2.1999999999999999E-2</v>
      </c>
      <c r="F18" t="s">
        <v>55</v>
      </c>
    </row>
    <row r="19" spans="1:6">
      <c r="A19" s="5">
        <v>18</v>
      </c>
      <c r="B19" s="2" t="s">
        <v>13</v>
      </c>
      <c r="C19" t="s">
        <v>51</v>
      </c>
      <c r="D19" s="4">
        <v>45308</v>
      </c>
      <c r="E19">
        <v>1.9E-2</v>
      </c>
    </row>
    <row r="20" spans="1:6">
      <c r="A20" s="5">
        <v>19</v>
      </c>
      <c r="B20" s="2" t="s">
        <v>14</v>
      </c>
      <c r="C20" t="s">
        <v>51</v>
      </c>
      <c r="D20" s="4">
        <v>45308</v>
      </c>
      <c r="E20">
        <v>1.2E-2</v>
      </c>
    </row>
    <row r="21" spans="1:6">
      <c r="A21" s="5">
        <v>20</v>
      </c>
      <c r="B21" s="2" t="s">
        <v>15</v>
      </c>
      <c r="C21" t="s">
        <v>53</v>
      </c>
      <c r="D21" s="4">
        <v>45336</v>
      </c>
      <c r="E21">
        <v>2.5999999999999999E-2</v>
      </c>
      <c r="F21" t="s">
        <v>56</v>
      </c>
    </row>
    <row r="22" spans="1:6">
      <c r="A22" s="5">
        <v>21</v>
      </c>
      <c r="B22" s="2" t="s">
        <v>20</v>
      </c>
      <c r="C22" t="s">
        <v>53</v>
      </c>
      <c r="D22" s="4">
        <v>45336</v>
      </c>
      <c r="E22">
        <v>1E-3</v>
      </c>
      <c r="F22" t="s">
        <v>57</v>
      </c>
    </row>
    <row r="23" spans="1:6">
      <c r="A23" s="5">
        <v>22</v>
      </c>
      <c r="B23" s="2" t="s">
        <v>21</v>
      </c>
      <c r="C23" t="s">
        <v>53</v>
      </c>
      <c r="D23" s="4">
        <v>45337</v>
      </c>
      <c r="E23">
        <v>0.02</v>
      </c>
    </row>
    <row r="24" spans="1:6">
      <c r="A24" s="27">
        <v>23</v>
      </c>
      <c r="B24" s="28" t="s">
        <v>16</v>
      </c>
      <c r="C24" s="27" t="s">
        <v>54</v>
      </c>
      <c r="D24" s="29">
        <v>45455</v>
      </c>
      <c r="E24" s="27">
        <v>3.2000000000000001E-2</v>
      </c>
      <c r="F24" s="27"/>
    </row>
    <row r="25" spans="1:6">
      <c r="A25" s="5">
        <v>24</v>
      </c>
      <c r="B25" s="2" t="s">
        <v>58</v>
      </c>
      <c r="C25" t="s">
        <v>54</v>
      </c>
      <c r="D25" s="4">
        <v>45452</v>
      </c>
      <c r="E25">
        <v>1.2999999999999999E-2</v>
      </c>
    </row>
    <row r="26" spans="1:6">
      <c r="A26" s="5">
        <v>25</v>
      </c>
      <c r="B26" s="2" t="s">
        <v>22</v>
      </c>
      <c r="C26" t="s">
        <v>54</v>
      </c>
      <c r="D26" s="7"/>
      <c r="E26">
        <v>3.7999999999999999E-2</v>
      </c>
    </row>
    <row r="27" spans="1:6">
      <c r="A27" s="5">
        <v>26</v>
      </c>
      <c r="B27" s="2" t="s">
        <v>22</v>
      </c>
      <c r="C27" t="s">
        <v>54</v>
      </c>
      <c r="D27" s="4">
        <v>45457</v>
      </c>
      <c r="E27">
        <v>0.03</v>
      </c>
    </row>
    <row r="28" spans="1:6">
      <c r="A28" s="5">
        <v>27</v>
      </c>
      <c r="B28" s="2" t="s">
        <v>23</v>
      </c>
      <c r="C28" t="s">
        <v>54</v>
      </c>
      <c r="D28" s="4">
        <v>45457</v>
      </c>
      <c r="E28">
        <v>3.5000000000000003E-2</v>
      </c>
      <c r="F28" t="s">
        <v>59</v>
      </c>
    </row>
    <row r="29" spans="1:6">
      <c r="A29" s="5">
        <v>28</v>
      </c>
      <c r="B29" s="2" t="s">
        <v>24</v>
      </c>
      <c r="C29" t="s">
        <v>54</v>
      </c>
      <c r="D29" s="4">
        <v>45457</v>
      </c>
      <c r="E29">
        <v>1.7000000000000001E-2</v>
      </c>
    </row>
    <row r="30" spans="1:6">
      <c r="A30" s="5">
        <v>29</v>
      </c>
      <c r="B30" s="2" t="s">
        <v>24</v>
      </c>
      <c r="C30" t="s">
        <v>54</v>
      </c>
      <c r="D30" s="7"/>
      <c r="E30">
        <v>2.8000000000000001E-2</v>
      </c>
    </row>
    <row r="31" spans="1:6">
      <c r="A31" s="5">
        <v>30</v>
      </c>
      <c r="B31" s="2" t="s">
        <v>25</v>
      </c>
      <c r="C31" t="s">
        <v>54</v>
      </c>
      <c r="D31" s="4">
        <v>45455</v>
      </c>
      <c r="E31">
        <v>2.5999999999999999E-2</v>
      </c>
    </row>
    <row r="32" spans="1:6">
      <c r="A32" s="5">
        <v>31</v>
      </c>
      <c r="B32" s="2" t="s">
        <v>26</v>
      </c>
      <c r="C32" t="s">
        <v>54</v>
      </c>
      <c r="D32" s="4">
        <v>45457</v>
      </c>
      <c r="E32">
        <v>0.02</v>
      </c>
    </row>
    <row r="33" spans="1:6">
      <c r="A33" s="5">
        <v>32</v>
      </c>
      <c r="B33" s="2" t="s">
        <v>27</v>
      </c>
      <c r="C33" t="s">
        <v>54</v>
      </c>
      <c r="D33" s="7"/>
      <c r="E33">
        <v>2.1999999999999999E-2</v>
      </c>
    </row>
    <row r="34" spans="1:6">
      <c r="A34" s="5">
        <v>33</v>
      </c>
      <c r="B34" s="2" t="s">
        <v>28</v>
      </c>
      <c r="C34" t="s">
        <v>54</v>
      </c>
      <c r="D34" s="4">
        <v>45457</v>
      </c>
      <c r="E34">
        <v>1.4999999999999999E-2</v>
      </c>
    </row>
    <row r="35" spans="1:6">
      <c r="A35" s="5">
        <v>34</v>
      </c>
      <c r="B35" s="2" t="s">
        <v>29</v>
      </c>
      <c r="C35" t="s">
        <v>54</v>
      </c>
      <c r="D35" s="4">
        <v>45457</v>
      </c>
      <c r="E35">
        <v>2.5000000000000001E-2</v>
      </c>
    </row>
    <row r="36" spans="1:6">
      <c r="A36" s="5">
        <v>35</v>
      </c>
      <c r="B36" s="2" t="s">
        <v>30</v>
      </c>
      <c r="C36" t="s">
        <v>54</v>
      </c>
      <c r="D36" s="7"/>
      <c r="E36">
        <v>2.5000000000000001E-2</v>
      </c>
    </row>
    <row r="37" spans="1:6">
      <c r="A37" s="5">
        <v>36</v>
      </c>
      <c r="B37" s="2" t="s">
        <v>30</v>
      </c>
      <c r="C37" t="s">
        <v>54</v>
      </c>
      <c r="D37" s="4">
        <v>45457</v>
      </c>
      <c r="E37">
        <v>3.5000000000000003E-2</v>
      </c>
    </row>
    <row r="38" spans="1:6">
      <c r="A38" s="5">
        <v>37</v>
      </c>
      <c r="B38" s="2" t="s">
        <v>31</v>
      </c>
      <c r="C38" t="s">
        <v>54</v>
      </c>
      <c r="D38" s="7"/>
      <c r="E38">
        <v>1.9E-2</v>
      </c>
    </row>
    <row r="39" spans="1:6">
      <c r="A39" s="5">
        <v>38</v>
      </c>
      <c r="B39" s="2" t="s">
        <v>32</v>
      </c>
      <c r="C39" t="s">
        <v>54</v>
      </c>
      <c r="D39" s="4">
        <v>45457</v>
      </c>
      <c r="E39">
        <v>3.1E-2</v>
      </c>
    </row>
    <row r="40" spans="1:6">
      <c r="A40" s="6">
        <v>39</v>
      </c>
      <c r="B40" s="2" t="s">
        <v>33</v>
      </c>
      <c r="C40" t="s">
        <v>54</v>
      </c>
      <c r="D40" s="7"/>
      <c r="E40">
        <v>2.1999999999999999E-2</v>
      </c>
    </row>
    <row r="41" spans="1:6">
      <c r="A41" s="5">
        <v>40</v>
      </c>
      <c r="B41" s="2" t="s">
        <v>34</v>
      </c>
      <c r="C41" t="s">
        <v>54</v>
      </c>
      <c r="D41" s="7"/>
      <c r="E41">
        <v>0.113</v>
      </c>
    </row>
    <row r="42" spans="1:6">
      <c r="A42" s="5">
        <v>41</v>
      </c>
      <c r="B42" s="2" t="s">
        <v>35</v>
      </c>
      <c r="C42" t="s">
        <v>54</v>
      </c>
      <c r="D42" s="7"/>
      <c r="E42">
        <v>1.6E-2</v>
      </c>
    </row>
    <row r="43" spans="1:6">
      <c r="A43" s="5">
        <v>42</v>
      </c>
      <c r="B43" s="2" t="s">
        <v>36</v>
      </c>
      <c r="C43" t="s">
        <v>54</v>
      </c>
      <c r="D43" s="7"/>
      <c r="E43">
        <v>2.1999999999999999E-2</v>
      </c>
    </row>
    <row r="44" spans="1:6">
      <c r="A44" s="6">
        <v>43</v>
      </c>
      <c r="B44" s="2" t="s">
        <v>37</v>
      </c>
      <c r="C44" t="s">
        <v>54</v>
      </c>
      <c r="E44">
        <v>3.5999999999999997E-2</v>
      </c>
      <c r="F44" t="s">
        <v>60</v>
      </c>
    </row>
    <row r="45" spans="1:6">
      <c r="A45" s="5">
        <v>44</v>
      </c>
      <c r="B45" s="2" t="s">
        <v>38</v>
      </c>
      <c r="C45" t="s">
        <v>53</v>
      </c>
      <c r="D45" s="4">
        <v>45337</v>
      </c>
      <c r="E45">
        <v>1.2E-2</v>
      </c>
    </row>
    <row r="46" spans="1:6">
      <c r="A46" s="5">
        <v>45</v>
      </c>
      <c r="B46" s="2" t="s">
        <v>39</v>
      </c>
      <c r="C46" t="s">
        <v>51</v>
      </c>
      <c r="D46" s="4">
        <v>45425</v>
      </c>
      <c r="E46">
        <v>1.0999999999999999E-2</v>
      </c>
    </row>
    <row r="47" spans="1:6">
      <c r="A47" s="5">
        <v>46</v>
      </c>
      <c r="B47" s="2" t="s">
        <v>40</v>
      </c>
      <c r="C47" t="s">
        <v>53</v>
      </c>
      <c r="D47" s="4">
        <v>45356</v>
      </c>
      <c r="E47">
        <v>4.2999999999999997E-2</v>
      </c>
    </row>
    <row r="48" spans="1:6">
      <c r="A48" s="5">
        <v>47</v>
      </c>
      <c r="B48" s="2" t="s">
        <v>6</v>
      </c>
      <c r="C48" t="s">
        <v>53</v>
      </c>
      <c r="D48" s="4">
        <v>45356</v>
      </c>
      <c r="E48">
        <v>2.9000000000000001E-2</v>
      </c>
    </row>
    <row r="49" spans="1:6">
      <c r="A49" s="5">
        <v>48</v>
      </c>
      <c r="B49" s="2" t="s">
        <v>41</v>
      </c>
      <c r="C49" t="s">
        <v>51</v>
      </c>
      <c r="D49" s="4">
        <v>45425</v>
      </c>
      <c r="E49">
        <v>1.4E-2</v>
      </c>
    </row>
    <row r="50" spans="1:6">
      <c r="A50" s="5">
        <v>49</v>
      </c>
      <c r="B50" s="2" t="s">
        <v>42</v>
      </c>
      <c r="C50" t="s">
        <v>51</v>
      </c>
      <c r="D50" s="4">
        <v>45425</v>
      </c>
      <c r="E50">
        <v>2.9000000000000001E-2</v>
      </c>
    </row>
    <row r="51" spans="1:6">
      <c r="A51" s="6">
        <v>50</v>
      </c>
      <c r="B51" s="2" t="s">
        <v>43</v>
      </c>
      <c r="C51" t="s">
        <v>53</v>
      </c>
      <c r="D51" s="4">
        <v>45424</v>
      </c>
      <c r="E51">
        <v>2.9000000000000001E-2</v>
      </c>
    </row>
    <row r="52" spans="1:6">
      <c r="A52" s="5">
        <v>51</v>
      </c>
      <c r="B52" s="2" t="s">
        <v>44</v>
      </c>
      <c r="C52" t="s">
        <v>51</v>
      </c>
      <c r="D52" s="4">
        <v>45427</v>
      </c>
      <c r="E52">
        <v>1.9E-2</v>
      </c>
    </row>
    <row r="53" spans="1:6">
      <c r="A53" s="5">
        <v>52</v>
      </c>
      <c r="B53" s="2" t="s">
        <v>45</v>
      </c>
      <c r="C53" t="s">
        <v>51</v>
      </c>
      <c r="D53" s="4">
        <v>45427</v>
      </c>
      <c r="E53">
        <v>1.4E-2</v>
      </c>
    </row>
    <row r="54" spans="1:6">
      <c r="A54" s="5">
        <v>53</v>
      </c>
      <c r="B54" s="2" t="s">
        <v>46</v>
      </c>
      <c r="C54" t="s">
        <v>51</v>
      </c>
      <c r="D54" s="4">
        <v>45416</v>
      </c>
      <c r="E54">
        <v>1.4999999999999999E-2</v>
      </c>
      <c r="F54" t="s">
        <v>57</v>
      </c>
    </row>
    <row r="55" spans="1:6">
      <c r="A55" s="5">
        <v>54</v>
      </c>
      <c r="B55" s="2" t="s">
        <v>43</v>
      </c>
      <c r="C55" t="s">
        <v>53</v>
      </c>
      <c r="D55" s="4">
        <v>45363</v>
      </c>
      <c r="E55">
        <v>0.105</v>
      </c>
      <c r="F55" t="s">
        <v>61</v>
      </c>
    </row>
    <row r="56" spans="1:6">
      <c r="A56" s="5">
        <v>55</v>
      </c>
      <c r="B56" s="2" t="s">
        <v>47</v>
      </c>
      <c r="C56" s="7"/>
      <c r="D56" s="4">
        <v>45444</v>
      </c>
      <c r="E56">
        <v>7.5999999999999998E-2</v>
      </c>
      <c r="F56" t="s">
        <v>61</v>
      </c>
    </row>
    <row r="57" spans="1:6">
      <c r="A57" s="5">
        <v>56</v>
      </c>
      <c r="B57" s="2" t="s">
        <v>48</v>
      </c>
      <c r="C57" t="s">
        <v>51</v>
      </c>
      <c r="D57" s="4">
        <v>45416</v>
      </c>
      <c r="E57">
        <v>4.8000000000000001E-2</v>
      </c>
    </row>
    <row r="58" spans="1:6">
      <c r="A58" s="5">
        <v>57</v>
      </c>
      <c r="B58" s="2" t="s">
        <v>7</v>
      </c>
      <c r="C58" t="s">
        <v>51</v>
      </c>
      <c r="D58" s="4">
        <v>45392</v>
      </c>
      <c r="E58">
        <v>0.122</v>
      </c>
    </row>
    <row r="59" spans="1:6">
      <c r="A59" s="5">
        <v>58</v>
      </c>
      <c r="B59" s="2" t="s">
        <v>49</v>
      </c>
      <c r="C59" t="s">
        <v>53</v>
      </c>
      <c r="D59" s="4">
        <v>45363</v>
      </c>
      <c r="E59">
        <v>0.113</v>
      </c>
    </row>
    <row r="60" spans="1:6">
      <c r="A60" s="5">
        <v>59</v>
      </c>
      <c r="B60" s="2" t="s">
        <v>50</v>
      </c>
      <c r="C60" s="7"/>
      <c r="D60" s="4">
        <v>45444</v>
      </c>
      <c r="E60">
        <v>7.1999999999999995E-2</v>
      </c>
      <c r="F60" t="s">
        <v>61</v>
      </c>
    </row>
    <row r="61" spans="1:6">
      <c r="B61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AF4-44EB-4EB5-BB53-025B911DFE51}">
  <dimension ref="A1:AA85"/>
  <sheetViews>
    <sheetView tabSelected="1" zoomScale="76" zoomScaleNormal="88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P32" sqref="P32"/>
    </sheetView>
  </sheetViews>
  <sheetFormatPr baseColWidth="10" defaultRowHeight="13.8"/>
  <cols>
    <col min="11" max="11" width="16.5" customWidth="1"/>
    <col min="22" max="22" width="9.3984375" bestFit="1" customWidth="1"/>
    <col min="23" max="23" width="33.69921875" bestFit="1" customWidth="1"/>
    <col min="24" max="24" width="18.296875" bestFit="1" customWidth="1"/>
  </cols>
  <sheetData>
    <row r="1" spans="1:25">
      <c r="A1" s="31" t="s">
        <v>150</v>
      </c>
      <c r="B1" s="33" t="s">
        <v>151</v>
      </c>
      <c r="C1" s="35" t="s">
        <v>152</v>
      </c>
      <c r="D1" s="31" t="s">
        <v>153</v>
      </c>
      <c r="E1" s="31" t="s">
        <v>154</v>
      </c>
      <c r="F1" s="31" t="s">
        <v>155</v>
      </c>
      <c r="G1" s="31" t="s">
        <v>156</v>
      </c>
      <c r="H1" s="31" t="s">
        <v>157</v>
      </c>
      <c r="I1" s="31" t="s">
        <v>158</v>
      </c>
      <c r="J1" s="31" t="s">
        <v>159</v>
      </c>
      <c r="K1" s="31" t="s">
        <v>160</v>
      </c>
      <c r="L1" s="31" t="s">
        <v>161</v>
      </c>
      <c r="M1" s="31" t="s">
        <v>162</v>
      </c>
      <c r="N1" s="31" t="s">
        <v>163</v>
      </c>
      <c r="O1" s="40" t="s">
        <v>164</v>
      </c>
      <c r="P1" s="31" t="s">
        <v>165</v>
      </c>
      <c r="Q1" s="38" t="s">
        <v>166</v>
      </c>
      <c r="R1" s="39"/>
      <c r="S1" s="38" t="s">
        <v>167</v>
      </c>
      <c r="T1" s="39"/>
      <c r="U1" s="37" t="s">
        <v>168</v>
      </c>
      <c r="V1" s="37" t="s">
        <v>181</v>
      </c>
      <c r="W1" s="37" t="s">
        <v>182</v>
      </c>
      <c r="X1" s="38" t="s">
        <v>216</v>
      </c>
      <c r="Y1" s="39"/>
    </row>
    <row r="2" spans="1:25">
      <c r="A2" s="32"/>
      <c r="B2" s="34"/>
      <c r="C2" s="36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41"/>
      <c r="P2" s="32"/>
      <c r="Q2" s="12" t="s">
        <v>169</v>
      </c>
      <c r="R2" s="12" t="s">
        <v>170</v>
      </c>
      <c r="S2" s="12" t="s">
        <v>171</v>
      </c>
      <c r="T2" s="12" t="s">
        <v>172</v>
      </c>
      <c r="U2" s="37"/>
      <c r="V2" s="37"/>
      <c r="W2" s="37"/>
      <c r="X2" s="30" t="s">
        <v>171</v>
      </c>
      <c r="Y2" s="30" t="s">
        <v>172</v>
      </c>
    </row>
    <row r="3" spans="1:25" ht="15">
      <c r="A3" s="13">
        <v>1</v>
      </c>
      <c r="B3" s="13" t="s">
        <v>62</v>
      </c>
      <c r="C3" s="14">
        <v>45302</v>
      </c>
      <c r="D3" s="13">
        <v>1</v>
      </c>
      <c r="E3" s="15">
        <v>0.42708333333333331</v>
      </c>
      <c r="F3" s="13" t="s">
        <v>63</v>
      </c>
      <c r="G3" s="13" t="s">
        <v>64</v>
      </c>
      <c r="H3" s="13">
        <v>21</v>
      </c>
      <c r="I3" s="13">
        <v>13</v>
      </c>
      <c r="J3" s="13">
        <v>12.6</v>
      </c>
      <c r="K3" s="13" t="s">
        <v>65</v>
      </c>
      <c r="L3" s="13">
        <v>13.89</v>
      </c>
      <c r="M3" s="13">
        <v>72.05</v>
      </c>
      <c r="N3" s="13">
        <v>73.22</v>
      </c>
      <c r="O3" s="13">
        <v>145.26999999999998</v>
      </c>
      <c r="P3" s="13">
        <v>39.25</v>
      </c>
      <c r="Q3" s="13">
        <v>15.28</v>
      </c>
      <c r="R3" s="13">
        <v>10.43</v>
      </c>
      <c r="S3" s="13" t="s">
        <v>67</v>
      </c>
      <c r="T3" s="13" t="s">
        <v>68</v>
      </c>
      <c r="U3" s="13">
        <v>2515</v>
      </c>
      <c r="V3" s="26">
        <v>2.1000000000000001E-2</v>
      </c>
      <c r="W3" s="26"/>
      <c r="X3" s="13" t="s">
        <v>185</v>
      </c>
      <c r="Y3" s="13" t="s">
        <v>186</v>
      </c>
    </row>
    <row r="4" spans="1:25" ht="15">
      <c r="A4" s="13">
        <v>2</v>
      </c>
      <c r="B4" s="13" t="s">
        <v>62</v>
      </c>
      <c r="C4" s="14">
        <v>45302</v>
      </c>
      <c r="D4" s="13">
        <v>2</v>
      </c>
      <c r="E4" s="15">
        <v>0.43055555555555558</v>
      </c>
      <c r="F4" s="13" t="s">
        <v>69</v>
      </c>
      <c r="G4" s="13" t="s">
        <v>64</v>
      </c>
      <c r="H4" s="13">
        <v>22</v>
      </c>
      <c r="I4" s="13">
        <v>13</v>
      </c>
      <c r="J4" s="13">
        <v>12.6</v>
      </c>
      <c r="K4" s="13" t="s">
        <v>65</v>
      </c>
      <c r="L4" s="13">
        <v>9.0399999999999991</v>
      </c>
      <c r="M4" s="13">
        <v>68.599999999999994</v>
      </c>
      <c r="N4" s="13">
        <v>45.11</v>
      </c>
      <c r="O4" s="13">
        <v>113.71</v>
      </c>
      <c r="P4" s="13">
        <v>21.55</v>
      </c>
      <c r="Q4" s="13">
        <v>11.85</v>
      </c>
      <c r="R4" s="13">
        <v>9.3699999999999992</v>
      </c>
      <c r="S4" s="13" t="s">
        <v>71</v>
      </c>
      <c r="T4" s="13" t="s">
        <v>72</v>
      </c>
      <c r="U4" s="13">
        <v>2515</v>
      </c>
      <c r="V4" s="26">
        <v>2.8000000000000001E-2</v>
      </c>
      <c r="W4" s="26"/>
      <c r="X4" s="13" t="s">
        <v>185</v>
      </c>
      <c r="Y4" s="13" t="s">
        <v>186</v>
      </c>
    </row>
    <row r="5" spans="1:25" ht="15">
      <c r="A5" s="13">
        <v>4</v>
      </c>
      <c r="B5" s="13" t="s">
        <v>62</v>
      </c>
      <c r="C5" s="14">
        <v>45302</v>
      </c>
      <c r="D5" s="13">
        <v>4</v>
      </c>
      <c r="E5" s="15">
        <v>0.44861111111111113</v>
      </c>
      <c r="F5" s="13" t="s">
        <v>70</v>
      </c>
      <c r="G5" s="13" t="s">
        <v>64</v>
      </c>
      <c r="H5" s="13">
        <v>32.5</v>
      </c>
      <c r="I5" s="13">
        <v>19.8</v>
      </c>
      <c r="J5" s="13">
        <v>27</v>
      </c>
      <c r="K5" s="13" t="s">
        <v>65</v>
      </c>
      <c r="L5" s="13">
        <v>3.37</v>
      </c>
      <c r="M5" s="13">
        <v>46.73</v>
      </c>
      <c r="N5" s="13">
        <v>58.76</v>
      </c>
      <c r="O5" s="13">
        <v>105.49</v>
      </c>
      <c r="P5" s="13">
        <v>0</v>
      </c>
      <c r="Q5" s="13">
        <v>10.09</v>
      </c>
      <c r="R5" s="13">
        <v>5.78</v>
      </c>
      <c r="S5" s="13" t="s">
        <v>74</v>
      </c>
      <c r="T5" s="13" t="s">
        <v>75</v>
      </c>
      <c r="U5" s="13">
        <v>2538</v>
      </c>
      <c r="V5" s="26">
        <v>2.8000000000000001E-2</v>
      </c>
      <c r="W5" s="26"/>
      <c r="X5" s="13" t="s">
        <v>185</v>
      </c>
      <c r="Y5" s="13" t="s">
        <v>186</v>
      </c>
    </row>
    <row r="6" spans="1:25" ht="15">
      <c r="A6" s="13">
        <v>5</v>
      </c>
      <c r="B6" s="13" t="s">
        <v>62</v>
      </c>
      <c r="C6" s="14">
        <v>45302</v>
      </c>
      <c r="D6" s="13">
        <v>5</v>
      </c>
      <c r="E6" s="15">
        <v>0.4604166666666667</v>
      </c>
      <c r="F6" s="13" t="s">
        <v>63</v>
      </c>
      <c r="G6" s="13" t="s">
        <v>64</v>
      </c>
      <c r="H6" s="13">
        <v>20.8</v>
      </c>
      <c r="I6" s="13">
        <v>16.100000000000001</v>
      </c>
      <c r="J6" s="13">
        <v>16.3</v>
      </c>
      <c r="K6" s="13" t="s">
        <v>73</v>
      </c>
      <c r="L6" s="13">
        <v>3.24</v>
      </c>
      <c r="M6" s="13">
        <v>49</v>
      </c>
      <c r="N6" s="13">
        <v>23</v>
      </c>
      <c r="O6" s="13">
        <v>72</v>
      </c>
      <c r="P6" s="13">
        <v>1</v>
      </c>
      <c r="Q6" s="13">
        <v>11.67</v>
      </c>
      <c r="R6" s="13">
        <v>6.72</v>
      </c>
      <c r="S6" s="13" t="s">
        <v>78</v>
      </c>
      <c r="T6" s="13" t="s">
        <v>68</v>
      </c>
      <c r="U6" s="13">
        <v>2541</v>
      </c>
      <c r="V6" s="26">
        <v>1.4999999999999999E-2</v>
      </c>
      <c r="W6" s="26"/>
      <c r="X6" s="13" t="s">
        <v>185</v>
      </c>
      <c r="Y6" s="13" t="s">
        <v>186</v>
      </c>
    </row>
    <row r="7" spans="1:25" ht="15">
      <c r="A7" s="13">
        <v>7</v>
      </c>
      <c r="B7" s="13" t="s">
        <v>62</v>
      </c>
      <c r="C7" s="14">
        <v>45302</v>
      </c>
      <c r="D7" s="13">
        <v>7</v>
      </c>
      <c r="E7" s="15">
        <v>0.50902777777777775</v>
      </c>
      <c r="F7" s="13" t="s">
        <v>70</v>
      </c>
      <c r="G7" s="13" t="s">
        <v>64</v>
      </c>
      <c r="H7" s="13">
        <v>34.1</v>
      </c>
      <c r="I7" s="13">
        <v>20.8</v>
      </c>
      <c r="J7" s="13">
        <v>21.1</v>
      </c>
      <c r="K7" s="13" t="s">
        <v>77</v>
      </c>
      <c r="L7" s="13">
        <v>4.25</v>
      </c>
      <c r="M7" s="13">
        <v>48.84</v>
      </c>
      <c r="N7" s="13">
        <v>62.49</v>
      </c>
      <c r="O7" s="13">
        <v>111.33000000000001</v>
      </c>
      <c r="P7" s="13">
        <v>0</v>
      </c>
      <c r="Q7" s="13">
        <v>9.9700000000000006</v>
      </c>
      <c r="R7" s="13">
        <v>5.32</v>
      </c>
      <c r="S7" s="13" t="s">
        <v>78</v>
      </c>
      <c r="T7" s="13" t="s">
        <v>79</v>
      </c>
      <c r="U7" s="13">
        <v>2514</v>
      </c>
      <c r="V7" s="26">
        <v>1.2E-2</v>
      </c>
      <c r="W7" s="26"/>
      <c r="X7" s="13" t="s">
        <v>185</v>
      </c>
      <c r="Y7" s="13" t="s">
        <v>186</v>
      </c>
    </row>
    <row r="8" spans="1:25" ht="15">
      <c r="A8" s="13">
        <v>8</v>
      </c>
      <c r="B8" s="13" t="s">
        <v>62</v>
      </c>
      <c r="C8" s="14">
        <v>45302</v>
      </c>
      <c r="D8" s="13">
        <v>8</v>
      </c>
      <c r="E8" s="15">
        <v>0.51388888888888895</v>
      </c>
      <c r="F8" s="13" t="s">
        <v>69</v>
      </c>
      <c r="G8" s="13" t="s">
        <v>64</v>
      </c>
      <c r="H8" s="13">
        <v>34.799999999999997</v>
      </c>
      <c r="I8" s="13">
        <v>24.7</v>
      </c>
      <c r="J8" s="13">
        <v>25</v>
      </c>
      <c r="K8" s="13" t="s">
        <v>77</v>
      </c>
      <c r="L8" s="13">
        <v>11.15</v>
      </c>
      <c r="M8" s="13">
        <v>68.2</v>
      </c>
      <c r="N8" s="13">
        <v>80.02</v>
      </c>
      <c r="O8" s="13">
        <v>148.22</v>
      </c>
      <c r="P8" s="13">
        <v>0</v>
      </c>
      <c r="Q8" s="13">
        <v>12.65</v>
      </c>
      <c r="R8" s="13">
        <v>8.44</v>
      </c>
      <c r="S8" s="13" t="s">
        <v>81</v>
      </c>
      <c r="T8" s="13" t="s">
        <v>82</v>
      </c>
      <c r="U8" s="13">
        <v>2514</v>
      </c>
      <c r="V8" s="26">
        <v>3.1E-2</v>
      </c>
      <c r="W8" s="26"/>
      <c r="X8" s="13" t="s">
        <v>183</v>
      </c>
      <c r="Y8" s="13" t="s">
        <v>184</v>
      </c>
    </row>
    <row r="9" spans="1:25" ht="15">
      <c r="A9" s="13">
        <v>10</v>
      </c>
      <c r="B9" s="13" t="s">
        <v>62</v>
      </c>
      <c r="C9" s="14">
        <v>45302</v>
      </c>
      <c r="D9" s="13">
        <v>10</v>
      </c>
      <c r="E9" s="15">
        <v>0.55694444444444446</v>
      </c>
      <c r="F9" s="13" t="s">
        <v>69</v>
      </c>
      <c r="G9" s="13" t="s">
        <v>80</v>
      </c>
      <c r="H9" s="13">
        <v>31.8</v>
      </c>
      <c r="I9" s="13">
        <v>25.1</v>
      </c>
      <c r="J9" s="13">
        <v>26.1</v>
      </c>
      <c r="K9" s="13" t="s">
        <v>76</v>
      </c>
      <c r="L9" s="13">
        <v>9.5</v>
      </c>
      <c r="M9" s="13">
        <v>63.5</v>
      </c>
      <c r="N9" s="13">
        <v>36.450000000000003</v>
      </c>
      <c r="O9" s="13">
        <v>99.95</v>
      </c>
      <c r="P9" s="13">
        <v>24.44</v>
      </c>
      <c r="Q9" s="13">
        <v>11.03</v>
      </c>
      <c r="R9" s="13">
        <v>5.44</v>
      </c>
      <c r="S9" s="13" t="s">
        <v>83</v>
      </c>
      <c r="T9" s="13" t="s">
        <v>82</v>
      </c>
      <c r="U9" s="13">
        <v>2548</v>
      </c>
      <c r="V9" s="26">
        <v>3.5000000000000003E-2</v>
      </c>
      <c r="W9" s="26"/>
      <c r="X9" s="13" t="s">
        <v>183</v>
      </c>
      <c r="Y9" s="13" t="s">
        <v>184</v>
      </c>
    </row>
    <row r="10" spans="1:25" ht="15">
      <c r="A10" s="13">
        <v>11</v>
      </c>
      <c r="B10" s="13" t="s">
        <v>62</v>
      </c>
      <c r="C10" s="14">
        <v>45302</v>
      </c>
      <c r="D10" s="13">
        <v>11</v>
      </c>
      <c r="E10" s="15">
        <v>0.57222222222222219</v>
      </c>
      <c r="F10" s="13" t="s">
        <v>69</v>
      </c>
      <c r="G10" s="13" t="s">
        <v>64</v>
      </c>
      <c r="H10" s="13">
        <v>34.11</v>
      </c>
      <c r="I10" s="13">
        <v>29.7</v>
      </c>
      <c r="J10" s="13">
        <v>25.5</v>
      </c>
      <c r="K10" s="13" t="s">
        <v>76</v>
      </c>
      <c r="L10" s="13">
        <v>8.2200000000000006</v>
      </c>
      <c r="M10" s="13">
        <v>59.63</v>
      </c>
      <c r="N10" s="13">
        <v>41.58</v>
      </c>
      <c r="O10" s="13">
        <v>101.21000000000001</v>
      </c>
      <c r="P10" s="13">
        <v>1</v>
      </c>
      <c r="Q10" s="13">
        <v>11.7</v>
      </c>
      <c r="R10" s="13">
        <v>6.6</v>
      </c>
      <c r="S10" s="13" t="s">
        <v>85</v>
      </c>
      <c r="T10" s="13" t="s">
        <v>82</v>
      </c>
      <c r="U10" s="13">
        <v>2548</v>
      </c>
      <c r="V10" s="26">
        <v>7.0000000000000007E-2</v>
      </c>
      <c r="W10" s="26"/>
      <c r="X10" s="13" t="s">
        <v>183</v>
      </c>
      <c r="Y10" s="13" t="s">
        <v>184</v>
      </c>
    </row>
    <row r="11" spans="1:25" ht="15">
      <c r="A11" s="13">
        <v>12</v>
      </c>
      <c r="B11" s="13" t="s">
        <v>62</v>
      </c>
      <c r="C11" s="14">
        <v>45302</v>
      </c>
      <c r="D11" s="13">
        <v>12</v>
      </c>
      <c r="E11" s="15">
        <v>0.57638888888888895</v>
      </c>
      <c r="F11" s="13" t="s">
        <v>63</v>
      </c>
      <c r="G11" s="13" t="s">
        <v>84</v>
      </c>
      <c r="H11" s="13" t="s">
        <v>66</v>
      </c>
      <c r="I11" s="13" t="s">
        <v>66</v>
      </c>
      <c r="J11" s="13" t="s">
        <v>66</v>
      </c>
      <c r="K11" s="13" t="s">
        <v>76</v>
      </c>
      <c r="L11" s="13">
        <v>6.79</v>
      </c>
      <c r="M11" s="13">
        <v>60.4</v>
      </c>
      <c r="N11" s="13">
        <v>77.319999999999993</v>
      </c>
      <c r="O11" s="13">
        <v>137.72</v>
      </c>
      <c r="P11" s="13">
        <v>0</v>
      </c>
      <c r="Q11" s="13">
        <v>13.94</v>
      </c>
      <c r="R11" s="13">
        <v>6.76</v>
      </c>
      <c r="S11" s="13" t="s">
        <v>86</v>
      </c>
      <c r="T11" s="13" t="s">
        <v>82</v>
      </c>
      <c r="U11" s="13">
        <v>2548</v>
      </c>
      <c r="V11" s="26">
        <v>6.8000000000000005E-2</v>
      </c>
      <c r="W11" s="26"/>
      <c r="X11" s="13" t="s">
        <v>183</v>
      </c>
      <c r="Y11" s="13" t="s">
        <v>184</v>
      </c>
    </row>
    <row r="12" spans="1:25" ht="15">
      <c r="A12" s="13">
        <v>13</v>
      </c>
      <c r="B12" s="13" t="s">
        <v>62</v>
      </c>
      <c r="C12" s="14">
        <v>45302</v>
      </c>
      <c r="D12" s="13">
        <v>13</v>
      </c>
      <c r="E12" s="15">
        <v>0.57986111111111105</v>
      </c>
      <c r="F12" s="13" t="s">
        <v>70</v>
      </c>
      <c r="G12" s="13" t="s">
        <v>64</v>
      </c>
      <c r="H12" s="13" t="s">
        <v>66</v>
      </c>
      <c r="I12" s="13" t="s">
        <v>66</v>
      </c>
      <c r="J12" s="13" t="s">
        <v>66</v>
      </c>
      <c r="K12" s="13" t="s">
        <v>76</v>
      </c>
      <c r="L12" s="13">
        <v>5</v>
      </c>
      <c r="M12" s="13">
        <v>59.98</v>
      </c>
      <c r="N12" s="13">
        <v>46.15</v>
      </c>
      <c r="O12" s="13">
        <v>106.13</v>
      </c>
      <c r="P12" s="13">
        <v>27.62</v>
      </c>
      <c r="Q12" s="13">
        <v>11.71</v>
      </c>
      <c r="R12" s="13">
        <v>6.28</v>
      </c>
      <c r="S12" s="13" t="s">
        <v>86</v>
      </c>
      <c r="T12" s="13" t="s">
        <v>82</v>
      </c>
      <c r="U12" s="13">
        <v>2548</v>
      </c>
      <c r="V12" s="26">
        <v>2.7E-2</v>
      </c>
      <c r="W12" s="26"/>
      <c r="X12" s="13" t="s">
        <v>187</v>
      </c>
      <c r="Y12" s="13" t="s">
        <v>188</v>
      </c>
    </row>
    <row r="13" spans="1:25" ht="15">
      <c r="A13" s="13">
        <v>23</v>
      </c>
      <c r="B13" s="13" t="s">
        <v>88</v>
      </c>
      <c r="C13" s="14">
        <v>45307</v>
      </c>
      <c r="D13" s="13">
        <v>2</v>
      </c>
      <c r="E13" s="15">
        <v>0.37152777777777773</v>
      </c>
      <c r="F13" s="13" t="s">
        <v>69</v>
      </c>
      <c r="G13" s="13" t="s">
        <v>64</v>
      </c>
      <c r="H13" s="13" t="s">
        <v>66</v>
      </c>
      <c r="I13" s="13" t="s">
        <v>66</v>
      </c>
      <c r="J13" s="13" t="s">
        <v>66</v>
      </c>
      <c r="K13" s="13" t="s">
        <v>91</v>
      </c>
      <c r="L13" s="13">
        <v>10.039999999999999</v>
      </c>
      <c r="M13" s="13">
        <v>62.5</v>
      </c>
      <c r="N13" s="13">
        <v>53.93</v>
      </c>
      <c r="O13" s="13">
        <v>116.43</v>
      </c>
      <c r="P13" s="13">
        <v>23</v>
      </c>
      <c r="Q13" s="13">
        <v>12.87</v>
      </c>
      <c r="R13" s="13">
        <v>8.4499999999999993</v>
      </c>
      <c r="S13" s="13" t="s">
        <v>92</v>
      </c>
      <c r="T13" s="13" t="s">
        <v>93</v>
      </c>
      <c r="U13" s="13">
        <v>2300</v>
      </c>
      <c r="V13" s="26">
        <v>4.9000000000000002E-2</v>
      </c>
      <c r="W13" s="26"/>
      <c r="X13" s="13" t="s">
        <v>187</v>
      </c>
      <c r="Y13" s="13" t="s">
        <v>188</v>
      </c>
    </row>
    <row r="14" spans="1:25" ht="15">
      <c r="A14" s="13">
        <v>25</v>
      </c>
      <c r="B14" s="13" t="s">
        <v>88</v>
      </c>
      <c r="C14" s="14">
        <v>45307</v>
      </c>
      <c r="D14" s="13">
        <v>4</v>
      </c>
      <c r="E14" s="15">
        <v>0.375</v>
      </c>
      <c r="F14" s="13" t="s">
        <v>70</v>
      </c>
      <c r="G14" s="13" t="s">
        <v>87</v>
      </c>
      <c r="H14" s="13" t="s">
        <v>66</v>
      </c>
      <c r="I14" s="13" t="s">
        <v>66</v>
      </c>
      <c r="J14" s="13" t="s">
        <v>66</v>
      </c>
      <c r="K14" s="13" t="s">
        <v>94</v>
      </c>
      <c r="L14" s="13">
        <v>6.39</v>
      </c>
      <c r="M14" s="13">
        <v>54.58</v>
      </c>
      <c r="N14" s="13">
        <v>62.37</v>
      </c>
      <c r="O14" s="13">
        <v>116.94999999999999</v>
      </c>
      <c r="P14" s="13">
        <v>0</v>
      </c>
      <c r="Q14" s="13">
        <v>10.76</v>
      </c>
      <c r="R14" s="13">
        <v>7.3</v>
      </c>
      <c r="S14" s="13" t="s">
        <v>92</v>
      </c>
      <c r="T14" s="13" t="s">
        <v>93</v>
      </c>
      <c r="U14" s="13">
        <v>2300</v>
      </c>
      <c r="V14" s="26">
        <v>2.1000000000000001E-2</v>
      </c>
      <c r="W14" s="26"/>
      <c r="X14" s="13" t="s">
        <v>187</v>
      </c>
      <c r="Y14" s="13" t="s">
        <v>188</v>
      </c>
    </row>
    <row r="15" spans="1:25" ht="15">
      <c r="A15" s="13">
        <v>26</v>
      </c>
      <c r="B15" s="13" t="s">
        <v>88</v>
      </c>
      <c r="C15" s="14">
        <v>45307</v>
      </c>
      <c r="D15" s="13">
        <v>5</v>
      </c>
      <c r="E15" s="15">
        <v>0.375</v>
      </c>
      <c r="F15" s="13" t="s">
        <v>63</v>
      </c>
      <c r="G15" s="13" t="s">
        <v>87</v>
      </c>
      <c r="H15" s="13" t="s">
        <v>66</v>
      </c>
      <c r="I15" s="13" t="s">
        <v>66</v>
      </c>
      <c r="J15" s="13" t="s">
        <v>66</v>
      </c>
      <c r="K15" s="13" t="s">
        <v>94</v>
      </c>
      <c r="L15" s="13">
        <v>7.64</v>
      </c>
      <c r="M15" s="13">
        <v>58.1</v>
      </c>
      <c r="N15" s="13">
        <v>78.760000000000005</v>
      </c>
      <c r="O15" s="13">
        <v>136.86000000000001</v>
      </c>
      <c r="P15" s="13">
        <v>0</v>
      </c>
      <c r="Q15" s="13">
        <v>11.5</v>
      </c>
      <c r="R15" s="13">
        <v>7.31</v>
      </c>
      <c r="S15" s="13" t="s">
        <v>92</v>
      </c>
      <c r="T15" s="13" t="s">
        <v>93</v>
      </c>
      <c r="U15" s="13">
        <v>2300</v>
      </c>
      <c r="V15" s="26">
        <v>1.7999999999999999E-2</v>
      </c>
      <c r="W15" s="26"/>
      <c r="X15" s="13" t="s">
        <v>187</v>
      </c>
      <c r="Y15" s="13" t="s">
        <v>188</v>
      </c>
    </row>
    <row r="16" spans="1:25" ht="15">
      <c r="A16" s="13">
        <v>28</v>
      </c>
      <c r="B16" s="13" t="s">
        <v>88</v>
      </c>
      <c r="C16" s="14">
        <v>45307</v>
      </c>
      <c r="D16" s="13">
        <v>7</v>
      </c>
      <c r="E16" s="15">
        <v>0.39097222222222222</v>
      </c>
      <c r="F16" s="13" t="s">
        <v>69</v>
      </c>
      <c r="G16" s="13" t="s">
        <v>87</v>
      </c>
      <c r="H16" s="13">
        <v>24.8</v>
      </c>
      <c r="I16" s="13">
        <v>13.4</v>
      </c>
      <c r="J16" s="13">
        <v>13.2</v>
      </c>
      <c r="K16" s="13" t="s">
        <v>95</v>
      </c>
      <c r="L16" s="13">
        <v>7.24</v>
      </c>
      <c r="M16" s="13">
        <v>63.98</v>
      </c>
      <c r="N16" s="13">
        <v>75.05</v>
      </c>
      <c r="O16" s="13">
        <v>139.03</v>
      </c>
      <c r="P16" s="13">
        <v>0</v>
      </c>
      <c r="Q16" s="13">
        <v>12.66</v>
      </c>
      <c r="R16" s="13">
        <v>7.99</v>
      </c>
      <c r="S16" s="13" t="s">
        <v>92</v>
      </c>
      <c r="T16" s="13" t="s">
        <v>93</v>
      </c>
      <c r="U16" s="13">
        <v>2300</v>
      </c>
      <c r="V16" s="26">
        <v>4.2999999999999997E-2</v>
      </c>
      <c r="W16" s="26"/>
      <c r="X16" s="13" t="s">
        <v>187</v>
      </c>
      <c r="Y16" s="13" t="s">
        <v>188</v>
      </c>
    </row>
    <row r="17" spans="1:25" ht="15">
      <c r="A17" s="13">
        <v>29</v>
      </c>
      <c r="B17" s="13" t="s">
        <v>88</v>
      </c>
      <c r="C17" s="14">
        <v>45307</v>
      </c>
      <c r="D17" s="13">
        <v>8</v>
      </c>
      <c r="E17" s="15">
        <v>0.39166666666666666</v>
      </c>
      <c r="F17" s="13" t="s">
        <v>70</v>
      </c>
      <c r="G17" s="13" t="s">
        <v>64</v>
      </c>
      <c r="H17" s="13" t="s">
        <v>66</v>
      </c>
      <c r="I17" s="13" t="s">
        <v>66</v>
      </c>
      <c r="J17" s="13" t="s">
        <v>66</v>
      </c>
      <c r="K17" s="13" t="s">
        <v>90</v>
      </c>
      <c r="L17" s="13">
        <v>4.72</v>
      </c>
      <c r="M17" s="13">
        <v>53.37</v>
      </c>
      <c r="N17" s="13">
        <v>55.71</v>
      </c>
      <c r="O17" s="13">
        <v>109.08</v>
      </c>
      <c r="P17" s="13">
        <v>0</v>
      </c>
      <c r="Q17" s="13">
        <v>9.7899999999999991</v>
      </c>
      <c r="R17" s="13">
        <v>6.17</v>
      </c>
      <c r="S17" s="13" t="s">
        <v>92</v>
      </c>
      <c r="T17" s="13" t="s">
        <v>93</v>
      </c>
      <c r="U17" s="13">
        <v>2300</v>
      </c>
      <c r="V17" s="26">
        <v>0.01</v>
      </c>
      <c r="W17" s="26"/>
      <c r="X17" s="13" t="s">
        <v>187</v>
      </c>
      <c r="Y17" s="13" t="s">
        <v>188</v>
      </c>
    </row>
    <row r="18" spans="1:25" ht="15">
      <c r="A18" s="13">
        <v>30</v>
      </c>
      <c r="B18" s="13" t="s">
        <v>88</v>
      </c>
      <c r="C18" s="14">
        <v>45307</v>
      </c>
      <c r="D18" s="13">
        <v>9</v>
      </c>
      <c r="E18" s="15">
        <v>0.39583333333333331</v>
      </c>
      <c r="F18" s="13" t="s">
        <v>70</v>
      </c>
      <c r="G18" s="13" t="s">
        <v>64</v>
      </c>
      <c r="H18" s="13" t="s">
        <v>66</v>
      </c>
      <c r="I18" s="13" t="s">
        <v>66</v>
      </c>
      <c r="J18" s="13" t="s">
        <v>66</v>
      </c>
      <c r="K18" s="13" t="s">
        <v>91</v>
      </c>
      <c r="L18" s="13">
        <v>7.7</v>
      </c>
      <c r="M18" s="13">
        <v>59.43</v>
      </c>
      <c r="N18" s="13">
        <v>74.38</v>
      </c>
      <c r="O18" s="13">
        <v>133.81</v>
      </c>
      <c r="P18" s="13">
        <v>0</v>
      </c>
      <c r="Q18" s="13">
        <v>11.83</v>
      </c>
      <c r="R18" s="13">
        <v>7.9</v>
      </c>
      <c r="S18" s="13" t="s">
        <v>92</v>
      </c>
      <c r="T18" s="13" t="s">
        <v>93</v>
      </c>
      <c r="U18" s="13">
        <v>2300</v>
      </c>
      <c r="V18" s="26">
        <v>1.7999999999999999E-2</v>
      </c>
      <c r="W18" s="26"/>
      <c r="X18" s="13" t="s">
        <v>187</v>
      </c>
      <c r="Y18" s="13" t="s">
        <v>188</v>
      </c>
    </row>
    <row r="19" spans="1:25" ht="15">
      <c r="A19" s="13">
        <v>32</v>
      </c>
      <c r="B19" s="13" t="s">
        <v>88</v>
      </c>
      <c r="C19" s="14">
        <v>45307</v>
      </c>
      <c r="D19" s="13">
        <v>11</v>
      </c>
      <c r="E19" s="15">
        <v>0.40277777777777773</v>
      </c>
      <c r="F19" s="13" t="s">
        <v>70</v>
      </c>
      <c r="G19" s="13" t="s">
        <v>87</v>
      </c>
      <c r="H19" s="13">
        <v>20.2</v>
      </c>
      <c r="I19" s="13">
        <v>22.7</v>
      </c>
      <c r="J19" s="13">
        <v>22.9</v>
      </c>
      <c r="K19" s="13" t="s">
        <v>65</v>
      </c>
      <c r="L19" s="13">
        <v>6.18</v>
      </c>
      <c r="M19" s="13">
        <v>64.540000000000006</v>
      </c>
      <c r="N19" s="13">
        <v>58.9</v>
      </c>
      <c r="O19" s="13">
        <v>123.44</v>
      </c>
      <c r="P19" s="13">
        <v>31.4</v>
      </c>
      <c r="Q19" s="13">
        <v>11.46</v>
      </c>
      <c r="R19" s="13">
        <v>6.62</v>
      </c>
      <c r="S19" s="13" t="s">
        <v>92</v>
      </c>
      <c r="T19" s="13" t="s">
        <v>93</v>
      </c>
      <c r="U19" s="13">
        <v>2300</v>
      </c>
      <c r="V19" s="26">
        <v>2.1999999999999999E-2</v>
      </c>
      <c r="W19" s="26" t="s">
        <v>55</v>
      </c>
      <c r="X19" s="13" t="s">
        <v>187</v>
      </c>
      <c r="Y19" s="13" t="s">
        <v>188</v>
      </c>
    </row>
    <row r="20" spans="1:25" ht="15">
      <c r="A20" s="13">
        <v>35</v>
      </c>
      <c r="B20" s="13" t="s">
        <v>88</v>
      </c>
      <c r="C20" s="14">
        <v>45307</v>
      </c>
      <c r="D20" s="13">
        <v>14</v>
      </c>
      <c r="E20" s="15">
        <v>0.55555555555555558</v>
      </c>
      <c r="F20" s="13" t="s">
        <v>63</v>
      </c>
      <c r="G20" s="13" t="s">
        <v>80</v>
      </c>
      <c r="H20" s="13">
        <v>32.1</v>
      </c>
      <c r="I20" s="13">
        <v>22.9</v>
      </c>
      <c r="J20" s="13">
        <v>21.9</v>
      </c>
      <c r="K20" s="13" t="s">
        <v>91</v>
      </c>
      <c r="L20" s="13">
        <v>4.7300000000000004</v>
      </c>
      <c r="M20" s="13">
        <v>49.84</v>
      </c>
      <c r="N20" s="13">
        <v>76.41</v>
      </c>
      <c r="O20" s="13">
        <v>126.25</v>
      </c>
      <c r="P20" s="13">
        <v>0</v>
      </c>
      <c r="Q20" s="13">
        <v>11.48</v>
      </c>
      <c r="R20" s="13">
        <v>6.45</v>
      </c>
      <c r="S20" s="13" t="s">
        <v>96</v>
      </c>
      <c r="T20" s="13" t="s">
        <v>97</v>
      </c>
      <c r="U20" s="13">
        <v>2304</v>
      </c>
      <c r="V20" s="26">
        <v>1.9E-2</v>
      </c>
      <c r="W20" s="26"/>
      <c r="X20" s="43" t="s">
        <v>189</v>
      </c>
    </row>
    <row r="21" spans="1:25" ht="15">
      <c r="A21" s="13">
        <v>36</v>
      </c>
      <c r="B21" s="13" t="s">
        <v>88</v>
      </c>
      <c r="C21" s="14">
        <v>45307</v>
      </c>
      <c r="D21" s="13">
        <v>15</v>
      </c>
      <c r="E21" s="15">
        <v>0.56597222222222221</v>
      </c>
      <c r="F21" s="13" t="s">
        <v>69</v>
      </c>
      <c r="G21" s="13" t="s">
        <v>87</v>
      </c>
      <c r="H21" s="13">
        <v>36.299999999999997</v>
      </c>
      <c r="I21" s="13">
        <v>19.100000000000001</v>
      </c>
      <c r="J21" s="13">
        <v>23.5</v>
      </c>
      <c r="K21" s="13" t="s">
        <v>91</v>
      </c>
      <c r="L21" s="13">
        <v>11.62</v>
      </c>
      <c r="M21" s="13">
        <v>72.45</v>
      </c>
      <c r="N21" s="13">
        <v>86.76</v>
      </c>
      <c r="O21" s="13">
        <v>159.21</v>
      </c>
      <c r="P21" s="13">
        <v>0</v>
      </c>
      <c r="Q21" s="13">
        <v>14.1</v>
      </c>
      <c r="R21" s="13">
        <v>8.1999999999999993</v>
      </c>
      <c r="S21" s="13" t="s">
        <v>99</v>
      </c>
      <c r="T21" s="13" t="s">
        <v>100</v>
      </c>
      <c r="U21" s="13">
        <v>2304</v>
      </c>
      <c r="V21" s="26">
        <v>1.2E-2</v>
      </c>
      <c r="W21" s="26"/>
      <c r="X21" s="13" t="s">
        <v>190</v>
      </c>
      <c r="Y21" s="13" t="s">
        <v>191</v>
      </c>
    </row>
    <row r="22" spans="1:25" ht="15">
      <c r="A22" s="13">
        <v>38</v>
      </c>
      <c r="B22" s="13" t="s">
        <v>88</v>
      </c>
      <c r="C22" s="14">
        <v>45319</v>
      </c>
      <c r="D22" s="13">
        <v>1</v>
      </c>
      <c r="E22" s="15">
        <v>0.45763888888888887</v>
      </c>
      <c r="F22" s="13" t="s">
        <v>63</v>
      </c>
      <c r="G22" s="13" t="s">
        <v>80</v>
      </c>
      <c r="H22" s="13">
        <v>30.7</v>
      </c>
      <c r="I22" s="13">
        <v>19.8</v>
      </c>
      <c r="J22" s="13">
        <v>26.3</v>
      </c>
      <c r="K22" s="13" t="s">
        <v>98</v>
      </c>
      <c r="L22" s="13">
        <v>11.51</v>
      </c>
      <c r="M22" s="13">
        <v>67.37</v>
      </c>
      <c r="N22" s="13">
        <v>71.36</v>
      </c>
      <c r="O22" s="13">
        <v>138.73000000000002</v>
      </c>
      <c r="P22" s="13">
        <v>0</v>
      </c>
      <c r="Q22" s="13">
        <v>13.65</v>
      </c>
      <c r="R22" s="13">
        <v>7.59</v>
      </c>
      <c r="S22" s="13" t="s">
        <v>202</v>
      </c>
      <c r="T22" s="13" t="s">
        <v>203</v>
      </c>
      <c r="U22" s="13">
        <v>2459</v>
      </c>
      <c r="V22" s="26">
        <v>1E-3</v>
      </c>
      <c r="W22" s="26" t="s">
        <v>57</v>
      </c>
      <c r="X22" s="13" t="s">
        <v>200</v>
      </c>
      <c r="Y22" s="13" t="s">
        <v>206</v>
      </c>
    </row>
    <row r="23" spans="1:25" ht="15">
      <c r="A23" s="13">
        <v>39</v>
      </c>
      <c r="B23" s="13" t="s">
        <v>88</v>
      </c>
      <c r="C23" s="14">
        <v>45319</v>
      </c>
      <c r="D23" s="13">
        <v>2</v>
      </c>
      <c r="E23" s="15">
        <v>0.4694444444444445</v>
      </c>
      <c r="F23" s="13" t="s">
        <v>63</v>
      </c>
      <c r="G23" s="13" t="s">
        <v>80</v>
      </c>
      <c r="H23" s="13">
        <v>27.2</v>
      </c>
      <c r="I23" s="13">
        <v>23.5</v>
      </c>
      <c r="J23" s="13">
        <v>30</v>
      </c>
      <c r="K23" s="13" t="s">
        <v>91</v>
      </c>
      <c r="L23" s="13">
        <v>10.63</v>
      </c>
      <c r="M23" s="13">
        <v>68.89</v>
      </c>
      <c r="N23" s="13">
        <v>66.14</v>
      </c>
      <c r="O23" s="13">
        <v>135.03</v>
      </c>
      <c r="P23" s="13">
        <v>19.64</v>
      </c>
      <c r="Q23" s="13">
        <v>13.22</v>
      </c>
      <c r="R23" s="13">
        <v>7.93</v>
      </c>
      <c r="S23" s="13" t="s">
        <v>204</v>
      </c>
      <c r="T23" s="13" t="s">
        <v>205</v>
      </c>
      <c r="U23" s="13">
        <v>2473</v>
      </c>
      <c r="V23" s="26">
        <v>2.5999999999999999E-2</v>
      </c>
      <c r="W23" s="26" t="s">
        <v>56</v>
      </c>
      <c r="X23" s="13" t="s">
        <v>200</v>
      </c>
      <c r="Y23" s="13" t="s">
        <v>206</v>
      </c>
    </row>
    <row r="24" spans="1:25" ht="15">
      <c r="A24" s="13">
        <v>45</v>
      </c>
      <c r="B24" s="13" t="s">
        <v>101</v>
      </c>
      <c r="C24" s="14">
        <v>45336</v>
      </c>
      <c r="D24" s="13">
        <v>2</v>
      </c>
      <c r="E24" s="15">
        <v>0.54722222222222217</v>
      </c>
      <c r="F24" s="13" t="s">
        <v>63</v>
      </c>
      <c r="G24" s="13" t="s">
        <v>64</v>
      </c>
      <c r="H24" s="13">
        <v>31.8</v>
      </c>
      <c r="I24" s="13">
        <v>18.2</v>
      </c>
      <c r="J24" s="13">
        <v>29.6</v>
      </c>
      <c r="K24" s="13" t="s">
        <v>65</v>
      </c>
      <c r="L24" s="13">
        <v>7.47</v>
      </c>
      <c r="M24" s="13">
        <v>64.02</v>
      </c>
      <c r="N24" s="13">
        <v>55.99</v>
      </c>
      <c r="O24" s="13">
        <v>120.00999999999999</v>
      </c>
      <c r="P24" s="13">
        <v>31.82</v>
      </c>
      <c r="Q24" s="13">
        <v>12.95</v>
      </c>
      <c r="R24" s="13">
        <v>7.28</v>
      </c>
      <c r="S24" s="13" t="s">
        <v>102</v>
      </c>
      <c r="T24" s="13" t="s">
        <v>103</v>
      </c>
      <c r="U24" s="13">
        <v>2129</v>
      </c>
      <c r="V24" s="26">
        <v>0.02</v>
      </c>
      <c r="W24" s="26"/>
      <c r="X24" s="42" t="s">
        <v>192</v>
      </c>
    </row>
    <row r="25" spans="1:25" ht="15">
      <c r="A25" s="13">
        <v>48</v>
      </c>
      <c r="B25" s="13" t="s">
        <v>101</v>
      </c>
      <c r="C25" s="14">
        <v>45336</v>
      </c>
      <c r="D25" s="13">
        <v>5</v>
      </c>
      <c r="E25" s="15">
        <v>0.57638888888888895</v>
      </c>
      <c r="F25" s="13" t="s">
        <v>70</v>
      </c>
      <c r="G25" s="13" t="s">
        <v>80</v>
      </c>
      <c r="H25" s="13">
        <v>36.9</v>
      </c>
      <c r="I25" s="13">
        <v>27.8</v>
      </c>
      <c r="J25" s="13">
        <v>30</v>
      </c>
      <c r="K25" s="13" t="s">
        <v>91</v>
      </c>
      <c r="L25" s="13">
        <v>5.69</v>
      </c>
      <c r="M25" s="13">
        <v>63.08</v>
      </c>
      <c r="N25" s="13">
        <v>40.130000000000003</v>
      </c>
      <c r="O25" s="13">
        <f>M25+N25</f>
        <v>103.21000000000001</v>
      </c>
      <c r="P25" s="13">
        <v>22.34</v>
      </c>
      <c r="Q25" s="13">
        <v>11.01</v>
      </c>
      <c r="R25" s="13">
        <v>8.15</v>
      </c>
      <c r="S25" s="13" t="s">
        <v>106</v>
      </c>
      <c r="T25" s="13" t="s">
        <v>107</v>
      </c>
      <c r="U25" s="13">
        <v>2129</v>
      </c>
      <c r="V25" s="26">
        <v>1.2E-2</v>
      </c>
      <c r="W25" s="26"/>
      <c r="X25" s="13" t="s">
        <v>193</v>
      </c>
      <c r="Y25" s="13" t="s">
        <v>194</v>
      </c>
    </row>
    <row r="26" spans="1:25" ht="15">
      <c r="A26" s="13">
        <v>55</v>
      </c>
      <c r="B26" s="13" t="s">
        <v>62</v>
      </c>
      <c r="C26" s="14">
        <v>45356</v>
      </c>
      <c r="D26" s="13">
        <v>6</v>
      </c>
      <c r="E26" s="15">
        <v>0.46875</v>
      </c>
      <c r="F26" s="13" t="s">
        <v>69</v>
      </c>
      <c r="G26" s="13" t="s">
        <v>104</v>
      </c>
      <c r="H26" s="13">
        <v>26.3</v>
      </c>
      <c r="I26" s="13">
        <v>19.899999999999999</v>
      </c>
      <c r="J26" s="13">
        <v>20.9</v>
      </c>
      <c r="K26" s="13" t="s">
        <v>73</v>
      </c>
      <c r="L26" s="13">
        <v>9.9700000000000006</v>
      </c>
      <c r="M26" s="13">
        <v>64.02</v>
      </c>
      <c r="N26" s="13">
        <v>52.13</v>
      </c>
      <c r="O26" s="13">
        <f>M26+N26</f>
        <v>116.15</v>
      </c>
      <c r="P26" s="13">
        <v>36.75</v>
      </c>
      <c r="Q26" s="13">
        <v>11.79</v>
      </c>
      <c r="R26" s="13">
        <v>6.86</v>
      </c>
      <c r="S26" s="13" t="s">
        <v>108</v>
      </c>
      <c r="T26" s="13" t="s">
        <v>107</v>
      </c>
      <c r="U26" s="13">
        <v>2287</v>
      </c>
      <c r="V26" s="26">
        <v>2.9000000000000001E-2</v>
      </c>
      <c r="W26" s="26"/>
      <c r="X26" s="13" t="s">
        <v>193</v>
      </c>
      <c r="Y26" s="13" t="s">
        <v>194</v>
      </c>
    </row>
    <row r="27" spans="1:25" ht="15">
      <c r="A27" s="13">
        <v>58</v>
      </c>
      <c r="B27" s="13" t="s">
        <v>62</v>
      </c>
      <c r="C27" s="14">
        <v>45356</v>
      </c>
      <c r="D27" s="13">
        <v>9</v>
      </c>
      <c r="E27" s="15">
        <v>0.48402777777777778</v>
      </c>
      <c r="F27" s="13" t="s">
        <v>63</v>
      </c>
      <c r="G27" s="13" t="s">
        <v>80</v>
      </c>
      <c r="H27" s="13">
        <v>27.9</v>
      </c>
      <c r="I27" s="13">
        <v>24.6</v>
      </c>
      <c r="J27" s="13">
        <v>25.2</v>
      </c>
      <c r="K27" s="13" t="s">
        <v>73</v>
      </c>
      <c r="L27" s="13">
        <v>11.83</v>
      </c>
      <c r="M27" s="13">
        <v>74.75</v>
      </c>
      <c r="N27" s="13">
        <v>100.5</v>
      </c>
      <c r="O27" s="13">
        <f>M27+N27</f>
        <v>175.25</v>
      </c>
      <c r="P27" s="13">
        <v>0</v>
      </c>
      <c r="Q27" s="13">
        <v>14.74</v>
      </c>
      <c r="R27" s="13">
        <v>9.4</v>
      </c>
      <c r="S27" s="13" t="s">
        <v>138</v>
      </c>
      <c r="T27" s="13" t="s">
        <v>139</v>
      </c>
      <c r="U27" s="13">
        <v>2350</v>
      </c>
      <c r="V27" s="26">
        <v>4.2999999999999997E-2</v>
      </c>
      <c r="W27" s="26"/>
      <c r="X27" s="13" t="s">
        <v>195</v>
      </c>
      <c r="Y27" s="13" t="s">
        <v>196</v>
      </c>
    </row>
    <row r="28" spans="1:25" ht="15">
      <c r="A28" s="13">
        <v>63</v>
      </c>
      <c r="B28" s="13" t="s">
        <v>101</v>
      </c>
      <c r="C28" s="14">
        <v>45363</v>
      </c>
      <c r="D28" s="13">
        <v>4</v>
      </c>
      <c r="E28" s="15">
        <v>0.49305555555555558</v>
      </c>
      <c r="F28" s="13" t="s">
        <v>63</v>
      </c>
      <c r="G28" s="13" t="s">
        <v>105</v>
      </c>
      <c r="H28" s="13">
        <v>30.5</v>
      </c>
      <c r="I28" s="13">
        <v>17.899999999999999</v>
      </c>
      <c r="J28" s="13">
        <v>19.600000000000001</v>
      </c>
      <c r="K28" s="13" t="s">
        <v>65</v>
      </c>
      <c r="L28" s="13">
        <v>12.84</v>
      </c>
      <c r="M28" s="13">
        <v>75.430000000000007</v>
      </c>
      <c r="N28" s="13">
        <v>48.5</v>
      </c>
      <c r="O28" s="13">
        <f>M28+N28</f>
        <v>123.93</v>
      </c>
      <c r="P28" s="13">
        <v>26.29</v>
      </c>
      <c r="Q28" s="13">
        <v>13.24</v>
      </c>
      <c r="R28" s="13">
        <v>8.2899999999999991</v>
      </c>
      <c r="S28" s="13" t="s">
        <v>138</v>
      </c>
      <c r="T28" s="13" t="s">
        <v>139</v>
      </c>
      <c r="U28" s="13">
        <v>2134</v>
      </c>
      <c r="V28" s="26">
        <v>2.9000000000000001E-2</v>
      </c>
      <c r="W28" s="26"/>
      <c r="X28" s="13" t="s">
        <v>195</v>
      </c>
      <c r="Y28" s="13" t="s">
        <v>196</v>
      </c>
    </row>
    <row r="29" spans="1:25" ht="15">
      <c r="A29" s="13">
        <v>63</v>
      </c>
      <c r="B29" s="13" t="s">
        <v>101</v>
      </c>
      <c r="C29" s="14">
        <v>45363</v>
      </c>
      <c r="D29" s="13">
        <v>4</v>
      </c>
      <c r="E29" s="15">
        <v>0.49305555555555558</v>
      </c>
      <c r="F29" s="13" t="s">
        <v>63</v>
      </c>
      <c r="G29" s="13" t="s">
        <v>105</v>
      </c>
      <c r="H29" s="13">
        <v>30.5</v>
      </c>
      <c r="I29" s="13">
        <v>17.899999999999999</v>
      </c>
      <c r="J29" s="13">
        <v>19.600000000000001</v>
      </c>
      <c r="K29" s="13" t="s">
        <v>65</v>
      </c>
      <c r="L29" s="13">
        <v>12.84</v>
      </c>
      <c r="M29" s="13">
        <v>75.430000000000007</v>
      </c>
      <c r="N29" s="13">
        <v>48.5</v>
      </c>
      <c r="O29" s="13">
        <f>M29+N29</f>
        <v>123.93</v>
      </c>
      <c r="P29" s="13">
        <v>26.29</v>
      </c>
      <c r="Q29" s="13">
        <v>13.24</v>
      </c>
      <c r="R29" s="13">
        <v>8.2899999999999991</v>
      </c>
      <c r="S29" s="13" t="s">
        <v>145</v>
      </c>
      <c r="T29" s="13" t="s">
        <v>146</v>
      </c>
      <c r="U29" s="13">
        <v>2134</v>
      </c>
      <c r="V29" s="26">
        <v>0.105</v>
      </c>
      <c r="W29" s="26" t="s">
        <v>61</v>
      </c>
      <c r="X29" s="13" t="s">
        <v>200</v>
      </c>
      <c r="Y29" s="13" t="s">
        <v>201</v>
      </c>
    </row>
    <row r="30" spans="1:25" ht="15">
      <c r="A30" s="13">
        <v>77</v>
      </c>
      <c r="B30" s="13" t="s">
        <v>101</v>
      </c>
      <c r="C30" s="14">
        <v>45392</v>
      </c>
      <c r="D30" s="13">
        <v>8</v>
      </c>
      <c r="E30" s="15">
        <v>0.61944444444444446</v>
      </c>
      <c r="F30" s="13" t="s">
        <v>70</v>
      </c>
      <c r="G30" s="13" t="s">
        <v>105</v>
      </c>
      <c r="H30" s="13">
        <v>32.799999999999997</v>
      </c>
      <c r="I30" s="13">
        <v>27.5</v>
      </c>
      <c r="J30" s="13">
        <v>27.8</v>
      </c>
      <c r="K30" s="13" t="s">
        <v>65</v>
      </c>
      <c r="L30" s="13">
        <v>8.8000000000000007</v>
      </c>
      <c r="M30" s="13">
        <v>67.52</v>
      </c>
      <c r="N30" s="13">
        <v>75.489999999999995</v>
      </c>
      <c r="O30" s="13">
        <v>143.01</v>
      </c>
      <c r="P30" s="13">
        <v>0</v>
      </c>
      <c r="Q30" s="13">
        <v>10.87</v>
      </c>
      <c r="R30" s="13">
        <v>6.93</v>
      </c>
      <c r="S30" s="13" t="s">
        <v>175</v>
      </c>
      <c r="T30" s="13" t="s">
        <v>176</v>
      </c>
      <c r="U30" s="13">
        <v>2240</v>
      </c>
      <c r="V30" s="26">
        <v>0.122</v>
      </c>
      <c r="W30" s="26"/>
      <c r="X30" s="42" t="s">
        <v>189</v>
      </c>
    </row>
    <row r="31" spans="1:25" ht="15">
      <c r="A31" s="13">
        <v>86</v>
      </c>
      <c r="B31" s="13" t="s">
        <v>101</v>
      </c>
      <c r="C31" s="14">
        <v>45414</v>
      </c>
      <c r="D31" s="17">
        <v>8</v>
      </c>
      <c r="E31" s="18">
        <v>0.50972222222222219</v>
      </c>
      <c r="F31" s="17" t="s">
        <v>70</v>
      </c>
      <c r="G31" s="17" t="s">
        <v>104</v>
      </c>
      <c r="H31" s="17">
        <v>33.1</v>
      </c>
      <c r="I31" s="17">
        <v>29.3</v>
      </c>
      <c r="J31" s="17">
        <v>31.5</v>
      </c>
      <c r="K31" s="17" t="s">
        <v>90</v>
      </c>
      <c r="L31" s="17">
        <v>8</v>
      </c>
      <c r="M31" s="17">
        <v>62.38</v>
      </c>
      <c r="N31" s="17">
        <v>68.8</v>
      </c>
      <c r="O31" s="13">
        <f t="shared" ref="O31" si="0">M31+N31</f>
        <v>131.18</v>
      </c>
      <c r="P31" s="17">
        <v>0</v>
      </c>
      <c r="Q31" s="17">
        <v>12.23</v>
      </c>
      <c r="R31" s="17">
        <v>6.9</v>
      </c>
      <c r="S31" s="13" t="s">
        <v>147</v>
      </c>
      <c r="T31" s="13" t="s">
        <v>148</v>
      </c>
      <c r="U31" s="13">
        <v>2298</v>
      </c>
      <c r="V31" s="26">
        <v>1.4999999999999999E-2</v>
      </c>
      <c r="W31" s="26" t="s">
        <v>57</v>
      </c>
      <c r="X31" s="42" t="s">
        <v>189</v>
      </c>
    </row>
    <row r="32" spans="1:25" ht="16.2" customHeight="1">
      <c r="A32" s="13">
        <v>91</v>
      </c>
      <c r="B32" s="13" t="s">
        <v>101</v>
      </c>
      <c r="C32" s="14">
        <v>45414</v>
      </c>
      <c r="D32" s="17">
        <v>13</v>
      </c>
      <c r="E32" s="18">
        <v>0.60347222222222219</v>
      </c>
      <c r="F32" s="17" t="s">
        <v>63</v>
      </c>
      <c r="G32" s="17" t="s">
        <v>105</v>
      </c>
      <c r="H32" s="17">
        <v>33.6</v>
      </c>
      <c r="I32" s="17">
        <v>29.6</v>
      </c>
      <c r="J32" s="17">
        <v>30.2</v>
      </c>
      <c r="K32" s="17" t="s">
        <v>65</v>
      </c>
      <c r="L32" s="17">
        <v>7.74</v>
      </c>
      <c r="M32" s="17">
        <v>65.58</v>
      </c>
      <c r="N32" s="17">
        <v>96.02</v>
      </c>
      <c r="O32" s="13">
        <v>161.6</v>
      </c>
      <c r="P32" s="17">
        <v>8.02</v>
      </c>
      <c r="Q32" s="17">
        <v>13.69</v>
      </c>
      <c r="R32" s="17">
        <v>7.48</v>
      </c>
      <c r="S32" s="13" t="s">
        <v>135</v>
      </c>
      <c r="T32" s="13" t="s">
        <v>136</v>
      </c>
      <c r="U32" s="13">
        <v>2291</v>
      </c>
      <c r="V32" s="26">
        <v>4.8000000000000001E-2</v>
      </c>
      <c r="W32" s="26"/>
      <c r="X32" s="13" t="s">
        <v>89</v>
      </c>
      <c r="Y32" s="13" t="s">
        <v>197</v>
      </c>
    </row>
    <row r="33" spans="1:27" ht="16.2" customHeight="1">
      <c r="A33" s="17">
        <v>92</v>
      </c>
      <c r="B33" s="13" t="s">
        <v>62</v>
      </c>
      <c r="C33" s="16">
        <v>45425</v>
      </c>
      <c r="D33" s="17">
        <v>1</v>
      </c>
      <c r="E33" s="18">
        <v>0.3979166666666667</v>
      </c>
      <c r="F33" s="17" t="s">
        <v>63</v>
      </c>
      <c r="G33" s="17" t="s">
        <v>105</v>
      </c>
      <c r="H33" s="17">
        <v>33.5</v>
      </c>
      <c r="I33" s="17">
        <v>26.7</v>
      </c>
      <c r="J33" s="17">
        <v>20.7</v>
      </c>
      <c r="K33" s="17" t="s">
        <v>65</v>
      </c>
      <c r="L33" s="17">
        <v>10.67</v>
      </c>
      <c r="M33" s="17">
        <v>74.010000000000005</v>
      </c>
      <c r="N33" s="17">
        <v>101.67</v>
      </c>
      <c r="O33" s="13">
        <v>175.68</v>
      </c>
      <c r="P33" s="17">
        <v>0</v>
      </c>
      <c r="Q33" s="17">
        <v>13.46</v>
      </c>
      <c r="R33" s="17">
        <v>8.52</v>
      </c>
      <c r="S33" s="13" t="s">
        <v>133</v>
      </c>
      <c r="T33" s="13" t="s">
        <v>134</v>
      </c>
      <c r="U33" s="13">
        <v>2268</v>
      </c>
      <c r="V33" s="26">
        <v>2.9000000000000001E-2</v>
      </c>
      <c r="W33" s="26"/>
      <c r="X33" s="13" t="s">
        <v>89</v>
      </c>
      <c r="Y33" s="13" t="s">
        <v>197</v>
      </c>
    </row>
    <row r="34" spans="1:27" ht="15">
      <c r="A34" s="17">
        <v>98</v>
      </c>
      <c r="B34" s="13" t="s">
        <v>62</v>
      </c>
      <c r="C34" s="16">
        <v>45425</v>
      </c>
      <c r="D34" s="17">
        <v>7</v>
      </c>
      <c r="E34" s="18">
        <v>0.45833333333333331</v>
      </c>
      <c r="F34" s="17" t="s">
        <v>70</v>
      </c>
      <c r="G34" s="17" t="s">
        <v>80</v>
      </c>
      <c r="H34" s="17">
        <v>38.1</v>
      </c>
      <c r="I34" s="17">
        <v>27.2</v>
      </c>
      <c r="J34" s="17">
        <v>25.3</v>
      </c>
      <c r="K34" s="17" t="s">
        <v>132</v>
      </c>
      <c r="L34" s="17">
        <v>4.43</v>
      </c>
      <c r="M34" s="17">
        <v>53.18</v>
      </c>
      <c r="N34" s="17">
        <v>43.08</v>
      </c>
      <c r="O34" s="13">
        <f>M34+N34</f>
        <v>96.259999999999991</v>
      </c>
      <c r="P34" s="17">
        <v>24.58</v>
      </c>
      <c r="Q34" s="17">
        <v>11.23</v>
      </c>
      <c r="R34" s="17">
        <v>5.51</v>
      </c>
      <c r="S34" s="13" t="s">
        <v>89</v>
      </c>
      <c r="T34" s="13" t="s">
        <v>137</v>
      </c>
      <c r="U34" s="13">
        <v>2277</v>
      </c>
      <c r="V34" s="26">
        <v>1.0999999999999999E-2</v>
      </c>
      <c r="W34" s="26"/>
      <c r="X34" s="13" t="s">
        <v>89</v>
      </c>
      <c r="Y34" s="13" t="s">
        <v>197</v>
      </c>
    </row>
    <row r="35" spans="1:27" ht="15">
      <c r="A35" s="17">
        <v>99</v>
      </c>
      <c r="B35" s="13" t="s">
        <v>62</v>
      </c>
      <c r="C35" s="16">
        <v>45425</v>
      </c>
      <c r="D35" s="17">
        <v>8</v>
      </c>
      <c r="E35" s="18">
        <v>0.46458333333333335</v>
      </c>
      <c r="F35" s="17" t="s">
        <v>63</v>
      </c>
      <c r="G35" s="17" t="s">
        <v>105</v>
      </c>
      <c r="H35" s="17" t="s">
        <v>66</v>
      </c>
      <c r="I35" s="17" t="s">
        <v>66</v>
      </c>
      <c r="J35" s="17" t="s">
        <v>66</v>
      </c>
      <c r="K35" s="17" t="s">
        <v>132</v>
      </c>
      <c r="L35" s="17">
        <v>4.51</v>
      </c>
      <c r="M35" s="17">
        <v>56.22</v>
      </c>
      <c r="N35" s="17">
        <v>53.23</v>
      </c>
      <c r="O35" s="13">
        <v>109.44999999999999</v>
      </c>
      <c r="P35" s="17">
        <v>36.35</v>
      </c>
      <c r="Q35" s="17">
        <v>11.41</v>
      </c>
      <c r="R35" s="17">
        <v>6.55</v>
      </c>
      <c r="S35" s="10" t="s">
        <v>178</v>
      </c>
      <c r="T35" s="10" t="s">
        <v>179</v>
      </c>
      <c r="U35" s="13">
        <v>2279</v>
      </c>
      <c r="V35" s="26">
        <v>1.4E-2</v>
      </c>
      <c r="W35" s="26"/>
      <c r="X35" s="13" t="s">
        <v>198</v>
      </c>
      <c r="Y35" s="13" t="s">
        <v>199</v>
      </c>
    </row>
    <row r="36" spans="1:27" ht="15">
      <c r="A36" s="17">
        <v>106</v>
      </c>
      <c r="B36" s="13" t="s">
        <v>101</v>
      </c>
      <c r="C36" s="16">
        <v>45427</v>
      </c>
      <c r="D36" s="17">
        <v>3</v>
      </c>
      <c r="E36" s="18">
        <v>0.4513888888888889</v>
      </c>
      <c r="F36" s="11" t="s">
        <v>70</v>
      </c>
      <c r="G36" s="11" t="s">
        <v>80</v>
      </c>
      <c r="H36" s="11">
        <v>31.1</v>
      </c>
      <c r="I36" s="11">
        <v>27.5</v>
      </c>
      <c r="J36" s="11">
        <v>27.5</v>
      </c>
      <c r="K36" s="11" t="s">
        <v>177</v>
      </c>
      <c r="L36" s="11">
        <v>9.3000000000000007</v>
      </c>
      <c r="M36" s="11">
        <v>65.209999999999994</v>
      </c>
      <c r="N36" s="11">
        <v>68.989999999999995</v>
      </c>
      <c r="O36" s="10">
        <v>134.19999999999999</v>
      </c>
      <c r="P36" s="11">
        <v>7.64</v>
      </c>
      <c r="Q36" s="11">
        <v>13.16</v>
      </c>
      <c r="R36" s="11">
        <v>6.66</v>
      </c>
      <c r="S36" s="10" t="s">
        <v>198</v>
      </c>
      <c r="T36" s="10" t="s">
        <v>217</v>
      </c>
      <c r="U36" s="10">
        <v>2233</v>
      </c>
      <c r="V36" s="26">
        <v>1.4E-2</v>
      </c>
      <c r="W36" s="26"/>
      <c r="X36" s="13" t="s">
        <v>218</v>
      </c>
      <c r="Y36" s="13" t="s">
        <v>219</v>
      </c>
    </row>
    <row r="37" spans="1:27" ht="15">
      <c r="A37" s="17">
        <v>108</v>
      </c>
      <c r="B37" s="13" t="s">
        <v>101</v>
      </c>
      <c r="C37" s="16">
        <v>45427</v>
      </c>
      <c r="D37" s="17">
        <v>5</v>
      </c>
      <c r="E37" s="18">
        <v>0.49305555555555558</v>
      </c>
      <c r="F37" s="11" t="s">
        <v>63</v>
      </c>
      <c r="G37" s="11" t="s">
        <v>105</v>
      </c>
      <c r="H37" s="11">
        <v>35.1</v>
      </c>
      <c r="I37" s="11">
        <v>34.9</v>
      </c>
      <c r="J37" s="11">
        <v>32</v>
      </c>
      <c r="K37" s="11" t="s">
        <v>180</v>
      </c>
      <c r="L37" s="11">
        <v>9.52</v>
      </c>
      <c r="M37" s="11">
        <v>70.17</v>
      </c>
      <c r="N37" s="11">
        <v>57.41</v>
      </c>
      <c r="O37" s="10">
        <v>127.58</v>
      </c>
      <c r="P37" s="11">
        <v>44.15</v>
      </c>
      <c r="Q37" s="11">
        <v>13.57</v>
      </c>
      <c r="R37" s="11">
        <v>7.45</v>
      </c>
      <c r="S37" s="13" t="s">
        <v>141</v>
      </c>
      <c r="T37" s="13" t="s">
        <v>142</v>
      </c>
      <c r="U37" s="10">
        <v>2233</v>
      </c>
      <c r="V37" s="26">
        <v>1.9E-2</v>
      </c>
      <c r="W37" s="26"/>
      <c r="X37" s="13" t="s">
        <v>207</v>
      </c>
      <c r="Y37" s="13" t="s">
        <v>208</v>
      </c>
    </row>
    <row r="38" spans="1:27" ht="15">
      <c r="A38" s="13">
        <v>110</v>
      </c>
      <c r="B38" s="13" t="s">
        <v>62</v>
      </c>
      <c r="C38" s="14">
        <v>45444</v>
      </c>
      <c r="D38" s="17">
        <v>1</v>
      </c>
      <c r="E38" s="15">
        <v>0.54166666666666663</v>
      </c>
      <c r="F38" s="13" t="s">
        <v>70</v>
      </c>
      <c r="G38" s="13" t="s">
        <v>80</v>
      </c>
      <c r="H38" s="13">
        <v>34</v>
      </c>
      <c r="I38" s="13">
        <v>22.1</v>
      </c>
      <c r="J38" s="13">
        <v>26.7</v>
      </c>
      <c r="K38" s="13" t="s">
        <v>140</v>
      </c>
      <c r="L38" s="13">
        <v>5.13</v>
      </c>
      <c r="M38" s="13">
        <v>59.77</v>
      </c>
      <c r="N38" s="13">
        <v>72.930000000000007</v>
      </c>
      <c r="O38" s="13">
        <v>132.70000000000002</v>
      </c>
      <c r="P38" s="13">
        <v>0</v>
      </c>
      <c r="Q38" s="13">
        <v>10.56</v>
      </c>
      <c r="R38" s="13">
        <v>6.55</v>
      </c>
      <c r="S38" s="13" t="s">
        <v>143</v>
      </c>
      <c r="T38" s="13" t="s">
        <v>144</v>
      </c>
      <c r="U38" s="13">
        <v>2388</v>
      </c>
      <c r="V38" s="26">
        <v>7.1999999999999995E-2</v>
      </c>
      <c r="W38" s="26" t="s">
        <v>61</v>
      </c>
      <c r="X38" s="13" t="s">
        <v>207</v>
      </c>
      <c r="Y38" s="13" t="s">
        <v>208</v>
      </c>
    </row>
    <row r="39" spans="1:27" ht="15">
      <c r="A39" s="13">
        <v>112</v>
      </c>
      <c r="B39" s="13" t="s">
        <v>62</v>
      </c>
      <c r="C39" s="14">
        <v>45444</v>
      </c>
      <c r="D39" s="17">
        <v>3</v>
      </c>
      <c r="E39" s="15">
        <v>0.62847222222222221</v>
      </c>
      <c r="F39" s="13" t="s">
        <v>63</v>
      </c>
      <c r="G39" s="13" t="s">
        <v>104</v>
      </c>
      <c r="H39" s="13">
        <v>33.6</v>
      </c>
      <c r="I39" s="13">
        <v>27</v>
      </c>
      <c r="J39" s="13">
        <v>29.9</v>
      </c>
      <c r="K39" s="13" t="s">
        <v>65</v>
      </c>
      <c r="L39" s="13">
        <v>8.24</v>
      </c>
      <c r="M39" s="13">
        <v>61.74</v>
      </c>
      <c r="N39" s="13">
        <v>81.44</v>
      </c>
      <c r="O39" s="13">
        <v>143.18</v>
      </c>
      <c r="P39" s="13">
        <v>0</v>
      </c>
      <c r="Q39" s="13">
        <v>13.32</v>
      </c>
      <c r="R39" s="13">
        <v>7.12</v>
      </c>
      <c r="S39" s="13" t="s">
        <v>109</v>
      </c>
      <c r="T39" s="13" t="s">
        <v>110</v>
      </c>
      <c r="U39" s="13">
        <v>2388</v>
      </c>
      <c r="V39" s="26">
        <v>7.5999999999999998E-2</v>
      </c>
      <c r="W39" s="26" t="s">
        <v>61</v>
      </c>
      <c r="X39" s="42" t="s">
        <v>189</v>
      </c>
    </row>
    <row r="40" spans="1:27" ht="15">
      <c r="A40" s="13">
        <v>114</v>
      </c>
      <c r="B40" s="13" t="s">
        <v>101</v>
      </c>
      <c r="C40" s="16">
        <v>45452</v>
      </c>
      <c r="D40" s="17">
        <v>1</v>
      </c>
      <c r="E40" s="15">
        <v>0.45624999999999999</v>
      </c>
      <c r="F40" s="13" t="s">
        <v>70</v>
      </c>
      <c r="G40" s="13" t="s">
        <v>87</v>
      </c>
      <c r="H40" s="13">
        <v>30.9</v>
      </c>
      <c r="I40" s="13">
        <v>26.7</v>
      </c>
      <c r="J40" s="13">
        <v>25.6</v>
      </c>
      <c r="K40" s="13" t="s">
        <v>65</v>
      </c>
      <c r="L40" s="13">
        <v>4.58</v>
      </c>
      <c r="M40" s="13">
        <v>54.3</v>
      </c>
      <c r="N40" s="13">
        <v>30.48</v>
      </c>
      <c r="O40" s="13">
        <v>84.78</v>
      </c>
      <c r="P40" s="13">
        <v>14.85</v>
      </c>
      <c r="Q40" s="13">
        <v>11.62</v>
      </c>
      <c r="R40" s="13">
        <v>6.38</v>
      </c>
      <c r="S40" s="13" t="s">
        <v>112</v>
      </c>
      <c r="T40" s="13" t="s">
        <v>113</v>
      </c>
      <c r="U40" s="13">
        <v>2236</v>
      </c>
      <c r="V40" s="26">
        <v>1.2999999999999999E-2</v>
      </c>
      <c r="W40" s="26"/>
      <c r="X40" s="13" t="s">
        <v>209</v>
      </c>
      <c r="Y40" s="13" t="s">
        <v>210</v>
      </c>
    </row>
    <row r="41" spans="1:27" ht="15">
      <c r="A41" s="13">
        <v>116</v>
      </c>
      <c r="B41" s="13" t="s">
        <v>101</v>
      </c>
      <c r="C41" s="16">
        <v>45455</v>
      </c>
      <c r="D41" s="17">
        <v>2</v>
      </c>
      <c r="E41" s="15">
        <v>0.4368055555555555</v>
      </c>
      <c r="F41" s="13" t="s">
        <v>63</v>
      </c>
      <c r="G41" s="13" t="s">
        <v>111</v>
      </c>
      <c r="H41" s="13">
        <v>30.3</v>
      </c>
      <c r="I41" s="13">
        <v>28</v>
      </c>
      <c r="J41" s="13">
        <v>28</v>
      </c>
      <c r="K41" s="13" t="s">
        <v>73</v>
      </c>
      <c r="L41" s="13">
        <v>12.43</v>
      </c>
      <c r="M41" s="13">
        <v>73.69</v>
      </c>
      <c r="N41" s="13">
        <v>34.35</v>
      </c>
      <c r="O41" s="13">
        <v>108.03999999999999</v>
      </c>
      <c r="P41" s="13">
        <v>12.43</v>
      </c>
      <c r="Q41" s="13">
        <v>14.95</v>
      </c>
      <c r="R41" s="13">
        <v>9.1199999999999992</v>
      </c>
      <c r="S41" s="13" t="s">
        <v>112</v>
      </c>
      <c r="T41" s="13" t="s">
        <v>113</v>
      </c>
      <c r="U41" s="13">
        <v>2266</v>
      </c>
      <c r="V41" s="26">
        <v>3.7999999999999999E-2</v>
      </c>
      <c r="W41" s="26"/>
      <c r="X41" s="13" t="s">
        <v>209</v>
      </c>
      <c r="Y41" s="13" t="s">
        <v>210</v>
      </c>
    </row>
    <row r="42" spans="1:27" ht="15">
      <c r="A42" s="13">
        <v>116</v>
      </c>
      <c r="B42" s="13" t="s">
        <v>101</v>
      </c>
      <c r="C42" s="16">
        <v>45455</v>
      </c>
      <c r="D42" s="17">
        <v>2</v>
      </c>
      <c r="E42" s="15">
        <v>0.4368055555555555</v>
      </c>
      <c r="F42" s="13" t="s">
        <v>63</v>
      </c>
      <c r="G42" s="13" t="s">
        <v>111</v>
      </c>
      <c r="H42" s="13">
        <v>30.3</v>
      </c>
      <c r="I42" s="13">
        <v>28</v>
      </c>
      <c r="J42" s="13">
        <v>28</v>
      </c>
      <c r="K42" s="13" t="s">
        <v>73</v>
      </c>
      <c r="L42" s="13">
        <v>12.43</v>
      </c>
      <c r="M42" s="13">
        <v>73.69</v>
      </c>
      <c r="N42" s="13">
        <v>34.35</v>
      </c>
      <c r="O42" s="13">
        <v>108.03999999999999</v>
      </c>
      <c r="P42" s="13">
        <v>12.43</v>
      </c>
      <c r="Q42" s="13">
        <v>14.95</v>
      </c>
      <c r="R42" s="13">
        <v>9.1199999999999992</v>
      </c>
      <c r="S42" s="13" t="s">
        <v>112</v>
      </c>
      <c r="T42" s="13" t="s">
        <v>113</v>
      </c>
      <c r="U42" s="13">
        <v>2266</v>
      </c>
      <c r="V42" s="26">
        <v>0.03</v>
      </c>
      <c r="W42" s="26"/>
      <c r="X42" s="13" t="s">
        <v>209</v>
      </c>
      <c r="Y42" s="13" t="s">
        <v>210</v>
      </c>
    </row>
    <row r="43" spans="1:27" ht="15">
      <c r="A43" s="13">
        <v>117</v>
      </c>
      <c r="B43" s="13" t="s">
        <v>101</v>
      </c>
      <c r="C43" s="16">
        <v>45455</v>
      </c>
      <c r="D43" s="17">
        <v>3</v>
      </c>
      <c r="E43" s="15">
        <v>0.4465277777777778</v>
      </c>
      <c r="F43" s="13" t="s">
        <v>63</v>
      </c>
      <c r="G43" s="13" t="s">
        <v>111</v>
      </c>
      <c r="H43" s="13">
        <v>30.4</v>
      </c>
      <c r="I43" s="13">
        <v>26.3</v>
      </c>
      <c r="J43" s="13">
        <v>26.7</v>
      </c>
      <c r="K43" s="13" t="s">
        <v>73</v>
      </c>
      <c r="L43" s="13">
        <v>8.86</v>
      </c>
      <c r="M43" s="13">
        <v>73.63</v>
      </c>
      <c r="N43" s="13">
        <v>99.6</v>
      </c>
      <c r="O43" s="13">
        <v>173.23</v>
      </c>
      <c r="P43" s="13">
        <v>0</v>
      </c>
      <c r="Q43" s="13">
        <v>13.95</v>
      </c>
      <c r="R43" s="13">
        <v>8.44</v>
      </c>
      <c r="S43" s="13" t="s">
        <v>114</v>
      </c>
      <c r="T43" s="13" t="s">
        <v>115</v>
      </c>
      <c r="U43" s="13">
        <v>2266</v>
      </c>
      <c r="V43" s="26">
        <v>3.5000000000000003E-2</v>
      </c>
      <c r="W43" s="26" t="s">
        <v>59</v>
      </c>
      <c r="X43" s="13" t="s">
        <v>209</v>
      </c>
      <c r="Y43" s="13" t="s">
        <v>210</v>
      </c>
    </row>
    <row r="44" spans="1:27" ht="15">
      <c r="A44" s="13">
        <v>118</v>
      </c>
      <c r="B44" s="13" t="s">
        <v>101</v>
      </c>
      <c r="C44" s="16">
        <v>45455</v>
      </c>
      <c r="D44" s="17">
        <v>4</v>
      </c>
      <c r="E44" s="15">
        <v>0.47222222222222227</v>
      </c>
      <c r="F44" s="13" t="s">
        <v>63</v>
      </c>
      <c r="G44" s="13" t="s">
        <v>105</v>
      </c>
      <c r="H44" s="13" t="s">
        <v>66</v>
      </c>
      <c r="I44" s="13" t="s">
        <v>66</v>
      </c>
      <c r="J44" s="13" t="s">
        <v>66</v>
      </c>
      <c r="K44" s="13" t="s">
        <v>76</v>
      </c>
      <c r="L44" s="13">
        <v>9.9</v>
      </c>
      <c r="M44" s="13">
        <v>69.33</v>
      </c>
      <c r="N44" s="13">
        <v>87.04</v>
      </c>
      <c r="O44" s="13">
        <v>156.37</v>
      </c>
      <c r="P44" s="13">
        <v>0</v>
      </c>
      <c r="Q44" s="13">
        <v>12.7</v>
      </c>
      <c r="R44" s="13">
        <v>7.69</v>
      </c>
      <c r="S44" s="13" t="s">
        <v>114</v>
      </c>
      <c r="T44" s="13" t="s">
        <v>115</v>
      </c>
      <c r="U44" s="13">
        <v>2266</v>
      </c>
      <c r="V44" s="26">
        <v>1.7000000000000001E-2</v>
      </c>
      <c r="W44" s="26"/>
      <c r="X44" s="13" t="s">
        <v>209</v>
      </c>
      <c r="Y44" s="13" t="s">
        <v>210</v>
      </c>
    </row>
    <row r="45" spans="1:27" ht="15">
      <c r="A45" s="13">
        <v>118</v>
      </c>
      <c r="B45" s="13" t="s">
        <v>101</v>
      </c>
      <c r="C45" s="16">
        <v>45455</v>
      </c>
      <c r="D45" s="17">
        <v>4</v>
      </c>
      <c r="E45" s="15">
        <v>0.47222222222222227</v>
      </c>
      <c r="F45" s="13" t="s">
        <v>63</v>
      </c>
      <c r="G45" s="13" t="s">
        <v>105</v>
      </c>
      <c r="H45" s="13" t="s">
        <v>66</v>
      </c>
      <c r="I45" s="13" t="s">
        <v>66</v>
      </c>
      <c r="J45" s="13" t="s">
        <v>66</v>
      </c>
      <c r="K45" s="13" t="s">
        <v>76</v>
      </c>
      <c r="L45" s="13">
        <v>9.9</v>
      </c>
      <c r="M45" s="13">
        <v>69.33</v>
      </c>
      <c r="N45" s="13">
        <v>87.04</v>
      </c>
      <c r="O45" s="13">
        <v>156.37</v>
      </c>
      <c r="P45" s="13">
        <v>0</v>
      </c>
      <c r="Q45" s="13">
        <v>12.7</v>
      </c>
      <c r="R45" s="13">
        <v>7.69</v>
      </c>
      <c r="S45" s="13" t="s">
        <v>116</v>
      </c>
      <c r="T45" s="13" t="s">
        <v>115</v>
      </c>
      <c r="U45" s="13">
        <v>2266</v>
      </c>
      <c r="V45" s="26">
        <v>2.8000000000000001E-2</v>
      </c>
      <c r="W45" s="26"/>
      <c r="X45" s="13" t="s">
        <v>209</v>
      </c>
      <c r="Y45" s="13" t="s">
        <v>210</v>
      </c>
    </row>
    <row r="46" spans="1:27" ht="15">
      <c r="A46" s="13">
        <v>120</v>
      </c>
      <c r="B46" s="13" t="s">
        <v>101</v>
      </c>
      <c r="C46" s="16">
        <v>45455</v>
      </c>
      <c r="D46" s="17">
        <v>6</v>
      </c>
      <c r="E46" s="15">
        <v>0.50694444444444442</v>
      </c>
      <c r="F46" s="13" t="s">
        <v>63</v>
      </c>
      <c r="G46" s="13" t="s">
        <v>105</v>
      </c>
      <c r="H46" s="13" t="s">
        <v>66</v>
      </c>
      <c r="I46" s="13" t="s">
        <v>66</v>
      </c>
      <c r="J46" s="13" t="s">
        <v>66</v>
      </c>
      <c r="K46" s="13" t="s">
        <v>76</v>
      </c>
      <c r="L46" s="13">
        <v>6.98</v>
      </c>
      <c r="M46" s="13">
        <v>67.63</v>
      </c>
      <c r="N46" s="13">
        <v>95.07</v>
      </c>
      <c r="O46" s="13">
        <v>162.69999999999999</v>
      </c>
      <c r="P46" s="13">
        <v>0</v>
      </c>
      <c r="Q46" s="13">
        <v>12.45</v>
      </c>
      <c r="R46" s="13">
        <v>7.53</v>
      </c>
      <c r="S46" s="13" t="s">
        <v>117</v>
      </c>
      <c r="T46" s="13" t="s">
        <v>118</v>
      </c>
      <c r="U46" s="13">
        <v>2266</v>
      </c>
      <c r="V46" s="26">
        <v>2.5999999999999999E-2</v>
      </c>
      <c r="W46" s="26"/>
      <c r="X46" s="13" t="s">
        <v>209</v>
      </c>
      <c r="Y46" s="13" t="s">
        <v>210</v>
      </c>
    </row>
    <row r="47" spans="1:27" s="9" customFormat="1" ht="15">
      <c r="A47" s="13">
        <v>121</v>
      </c>
      <c r="B47" s="13" t="s">
        <v>101</v>
      </c>
      <c r="C47" s="16">
        <v>45455</v>
      </c>
      <c r="D47" s="17">
        <v>7</v>
      </c>
      <c r="E47" s="15">
        <v>0.52777777777777779</v>
      </c>
      <c r="F47" s="13" t="s">
        <v>70</v>
      </c>
      <c r="G47" s="13" t="s">
        <v>105</v>
      </c>
      <c r="H47" s="21">
        <v>34.9</v>
      </c>
      <c r="I47" s="22">
        <v>26.3</v>
      </c>
      <c r="J47" s="22">
        <v>29.2</v>
      </c>
      <c r="K47" s="13" t="s">
        <v>76</v>
      </c>
      <c r="L47" s="13">
        <v>6.53</v>
      </c>
      <c r="M47" s="13">
        <v>62.1</v>
      </c>
      <c r="N47" s="13">
        <v>71.17</v>
      </c>
      <c r="O47" s="13">
        <v>133.27000000000001</v>
      </c>
      <c r="P47" s="13">
        <v>0</v>
      </c>
      <c r="Q47" s="13">
        <v>11.82</v>
      </c>
      <c r="R47" s="13">
        <v>6.74</v>
      </c>
      <c r="S47" s="13" t="s">
        <v>112</v>
      </c>
      <c r="T47" s="13" t="s">
        <v>119</v>
      </c>
      <c r="U47" s="13">
        <v>2266</v>
      </c>
      <c r="V47" s="26">
        <v>0.02</v>
      </c>
      <c r="W47" s="26"/>
      <c r="X47" s="13" t="s">
        <v>209</v>
      </c>
      <c r="Y47" s="13" t="s">
        <v>210</v>
      </c>
      <c r="AA47"/>
    </row>
    <row r="48" spans="1:27" ht="15">
      <c r="A48" s="13">
        <v>122</v>
      </c>
      <c r="B48" s="13" t="s">
        <v>101</v>
      </c>
      <c r="C48" s="16">
        <v>45455</v>
      </c>
      <c r="D48" s="17">
        <v>8</v>
      </c>
      <c r="E48" s="15">
        <v>0.55763888888888891</v>
      </c>
      <c r="F48" s="13" t="s">
        <v>70</v>
      </c>
      <c r="G48" s="13" t="s">
        <v>80</v>
      </c>
      <c r="H48" s="13">
        <v>32.799999999999997</v>
      </c>
      <c r="I48" s="13">
        <v>27.8</v>
      </c>
      <c r="J48" s="13">
        <v>27</v>
      </c>
      <c r="K48" s="13" t="s">
        <v>76</v>
      </c>
      <c r="L48" s="13">
        <v>3.4</v>
      </c>
      <c r="M48" s="13">
        <v>57.69</v>
      </c>
      <c r="N48" s="13">
        <v>68.239999999999995</v>
      </c>
      <c r="O48" s="13">
        <v>125.92999999999999</v>
      </c>
      <c r="P48" s="13">
        <v>0</v>
      </c>
      <c r="Q48" s="13">
        <v>10.48</v>
      </c>
      <c r="R48" s="13">
        <v>6.09</v>
      </c>
      <c r="S48" s="13" t="s">
        <v>120</v>
      </c>
      <c r="T48" s="13" t="s">
        <v>121</v>
      </c>
      <c r="U48" s="13">
        <v>2266</v>
      </c>
      <c r="V48" s="26">
        <v>2.1999999999999999E-2</v>
      </c>
      <c r="W48" s="26"/>
      <c r="X48" s="13" t="s">
        <v>209</v>
      </c>
      <c r="Y48" s="13" t="s">
        <v>210</v>
      </c>
    </row>
    <row r="49" spans="1:25" ht="15">
      <c r="A49" s="13">
        <v>125</v>
      </c>
      <c r="B49" s="13" t="s">
        <v>101</v>
      </c>
      <c r="C49" s="16">
        <v>45455</v>
      </c>
      <c r="D49" s="17">
        <v>11</v>
      </c>
      <c r="E49" s="15">
        <v>0.64722222222222225</v>
      </c>
      <c r="F49" s="13" t="s">
        <v>70</v>
      </c>
      <c r="G49" s="13" t="s">
        <v>105</v>
      </c>
      <c r="H49" s="13" t="s">
        <v>66</v>
      </c>
      <c r="I49" s="13" t="s">
        <v>66</v>
      </c>
      <c r="J49" s="13" t="s">
        <v>66</v>
      </c>
      <c r="K49" s="13" t="s">
        <v>73</v>
      </c>
      <c r="L49" s="13">
        <v>5.7</v>
      </c>
      <c r="M49" s="13">
        <v>63.55</v>
      </c>
      <c r="N49" s="13">
        <v>56.27</v>
      </c>
      <c r="O49" s="13">
        <v>119.82</v>
      </c>
      <c r="P49" s="13">
        <v>22.35</v>
      </c>
      <c r="Q49" s="13">
        <v>11.95</v>
      </c>
      <c r="R49" s="13">
        <v>6.74</v>
      </c>
      <c r="S49" s="13" t="s">
        <v>122</v>
      </c>
      <c r="T49" s="13" t="s">
        <v>123</v>
      </c>
      <c r="U49" s="13">
        <v>2266</v>
      </c>
      <c r="V49" s="26">
        <v>1.4999999999999999E-2</v>
      </c>
      <c r="W49" s="26"/>
      <c r="X49" s="42" t="s">
        <v>189</v>
      </c>
      <c r="Y49" s="13"/>
    </row>
    <row r="50" spans="1:25" ht="15">
      <c r="A50" s="13">
        <v>127</v>
      </c>
      <c r="B50" s="13" t="s">
        <v>101</v>
      </c>
      <c r="C50" s="16">
        <v>45455</v>
      </c>
      <c r="D50" s="13">
        <v>13</v>
      </c>
      <c r="E50" s="15">
        <v>0.62083333333333335</v>
      </c>
      <c r="F50" s="13" t="s">
        <v>70</v>
      </c>
      <c r="G50" s="13" t="s">
        <v>105</v>
      </c>
      <c r="H50" s="13">
        <v>34.700000000000003</v>
      </c>
      <c r="I50" s="23">
        <v>30.9</v>
      </c>
      <c r="J50" s="23">
        <v>33.700000000000003</v>
      </c>
      <c r="K50" s="13" t="s">
        <v>65</v>
      </c>
      <c r="L50" s="13">
        <v>5.79</v>
      </c>
      <c r="M50" s="13">
        <v>60.83</v>
      </c>
      <c r="N50" s="13">
        <v>62.33</v>
      </c>
      <c r="O50" s="13">
        <v>123.16</v>
      </c>
      <c r="P50" s="13">
        <v>0</v>
      </c>
      <c r="Q50" s="13">
        <v>10.24</v>
      </c>
      <c r="R50" s="13">
        <v>6.9</v>
      </c>
      <c r="S50" s="13" t="s">
        <v>125</v>
      </c>
      <c r="T50" s="13" t="s">
        <v>126</v>
      </c>
      <c r="U50" s="13">
        <v>2237</v>
      </c>
      <c r="V50" s="26">
        <v>2.5000000000000001E-2</v>
      </c>
      <c r="W50" s="26"/>
      <c r="X50" s="13" t="s">
        <v>125</v>
      </c>
      <c r="Y50" s="13" t="s">
        <v>211</v>
      </c>
    </row>
    <row r="51" spans="1:25" ht="15">
      <c r="A51" s="13">
        <v>128</v>
      </c>
      <c r="B51" s="13" t="s">
        <v>101</v>
      </c>
      <c r="C51" s="14">
        <v>45457</v>
      </c>
      <c r="D51" s="13">
        <v>1</v>
      </c>
      <c r="E51" s="15">
        <v>0.45416666666666666</v>
      </c>
      <c r="F51" s="13" t="s">
        <v>70</v>
      </c>
      <c r="G51" s="13" t="s">
        <v>105</v>
      </c>
      <c r="H51" s="13" t="s">
        <v>66</v>
      </c>
      <c r="I51" s="13" t="s">
        <v>66</v>
      </c>
      <c r="J51" s="13" t="s">
        <v>66</v>
      </c>
      <c r="K51" s="13" t="s">
        <v>124</v>
      </c>
      <c r="L51" s="13">
        <v>5.72</v>
      </c>
      <c r="M51" s="13">
        <v>66.8</v>
      </c>
      <c r="N51" s="13">
        <v>42.57</v>
      </c>
      <c r="O51" s="13">
        <v>109.37</v>
      </c>
      <c r="P51" s="13">
        <v>15.9</v>
      </c>
      <c r="Q51" s="13">
        <v>11.12</v>
      </c>
      <c r="R51" s="13">
        <v>7.11</v>
      </c>
      <c r="S51" s="13" t="s">
        <v>125</v>
      </c>
      <c r="T51" s="13" t="s">
        <v>126</v>
      </c>
      <c r="U51" s="13">
        <v>2320</v>
      </c>
      <c r="V51" s="26">
        <v>2.5000000000000001E-2</v>
      </c>
      <c r="W51" s="26"/>
      <c r="X51" s="13" t="s">
        <v>125</v>
      </c>
      <c r="Y51" s="13" t="s">
        <v>211</v>
      </c>
    </row>
    <row r="52" spans="1:25" ht="15">
      <c r="A52" s="13">
        <v>128</v>
      </c>
      <c r="B52" s="13" t="s">
        <v>101</v>
      </c>
      <c r="C52" s="14">
        <v>45457</v>
      </c>
      <c r="D52" s="13">
        <v>1</v>
      </c>
      <c r="E52" s="15">
        <v>0.45416666666666666</v>
      </c>
      <c r="F52" s="13" t="s">
        <v>70</v>
      </c>
      <c r="G52" s="13" t="s">
        <v>105</v>
      </c>
      <c r="H52" s="13" t="s">
        <v>66</v>
      </c>
      <c r="I52" s="13" t="s">
        <v>66</v>
      </c>
      <c r="J52" s="13" t="s">
        <v>66</v>
      </c>
      <c r="K52" s="13" t="s">
        <v>124</v>
      </c>
      <c r="L52" s="13">
        <v>5.72</v>
      </c>
      <c r="M52" s="13">
        <v>66.8</v>
      </c>
      <c r="N52" s="13">
        <v>42.57</v>
      </c>
      <c r="O52" s="13">
        <v>109.37</v>
      </c>
      <c r="P52" s="13">
        <v>15.9</v>
      </c>
      <c r="Q52" s="13">
        <v>11.12</v>
      </c>
      <c r="R52" s="13">
        <v>7.11</v>
      </c>
      <c r="S52" s="13" t="s">
        <v>127</v>
      </c>
      <c r="T52" s="13" t="s">
        <v>128</v>
      </c>
      <c r="U52" s="13">
        <v>2320</v>
      </c>
      <c r="V52" s="26">
        <v>3.5000000000000003E-2</v>
      </c>
      <c r="W52" s="26"/>
      <c r="X52" s="13" t="s">
        <v>125</v>
      </c>
      <c r="Y52" s="13" t="s">
        <v>211</v>
      </c>
    </row>
    <row r="53" spans="1:25" ht="15">
      <c r="A53" s="13">
        <v>130</v>
      </c>
      <c r="B53" s="13" t="s">
        <v>101</v>
      </c>
      <c r="C53" s="14">
        <v>45457</v>
      </c>
      <c r="D53" s="13">
        <v>3</v>
      </c>
      <c r="E53" s="15">
        <v>0.66875000000000007</v>
      </c>
      <c r="F53" s="13" t="s">
        <v>70</v>
      </c>
      <c r="G53" s="13" t="s">
        <v>105</v>
      </c>
      <c r="H53" s="13">
        <v>31.3</v>
      </c>
      <c r="I53" s="13">
        <v>22.8</v>
      </c>
      <c r="J53" s="13">
        <v>23</v>
      </c>
      <c r="K53" s="13" t="s">
        <v>65</v>
      </c>
      <c r="L53" s="13">
        <v>5.51</v>
      </c>
      <c r="M53" s="13">
        <v>64.02</v>
      </c>
      <c r="N53" s="13">
        <v>78.3</v>
      </c>
      <c r="O53" s="13">
        <v>142.32</v>
      </c>
      <c r="P53" s="13">
        <v>0</v>
      </c>
      <c r="Q53" s="13">
        <v>11.76</v>
      </c>
      <c r="R53" s="13">
        <v>6.62</v>
      </c>
      <c r="S53" s="13" t="s">
        <v>127</v>
      </c>
      <c r="T53" s="13" t="s">
        <v>128</v>
      </c>
      <c r="U53" s="13">
        <v>2320</v>
      </c>
      <c r="V53" s="26">
        <v>1.9E-2</v>
      </c>
      <c r="W53" s="26"/>
      <c r="X53" s="13" t="s">
        <v>125</v>
      </c>
      <c r="Y53" s="13" t="s">
        <v>211</v>
      </c>
    </row>
    <row r="54" spans="1:25" ht="15">
      <c r="A54" s="13">
        <v>132</v>
      </c>
      <c r="B54" s="13" t="s">
        <v>101</v>
      </c>
      <c r="C54" s="14">
        <v>45457</v>
      </c>
      <c r="D54" s="13">
        <v>5</v>
      </c>
      <c r="E54" s="15">
        <v>0.68055555555555547</v>
      </c>
      <c r="F54" s="13" t="s">
        <v>70</v>
      </c>
      <c r="G54" s="13" t="s">
        <v>105</v>
      </c>
      <c r="H54" s="13" t="s">
        <v>66</v>
      </c>
      <c r="I54" s="13" t="s">
        <v>66</v>
      </c>
      <c r="J54" s="13" t="s">
        <v>66</v>
      </c>
      <c r="K54" s="13" t="s">
        <v>91</v>
      </c>
      <c r="L54" s="13">
        <v>6.33</v>
      </c>
      <c r="M54" s="13">
        <v>65.84</v>
      </c>
      <c r="N54" s="13">
        <v>74.650000000000006</v>
      </c>
      <c r="O54" s="13">
        <v>140.49</v>
      </c>
      <c r="P54" s="13">
        <v>0</v>
      </c>
      <c r="Q54" s="13">
        <v>11.02</v>
      </c>
      <c r="R54" s="13">
        <v>6.38</v>
      </c>
      <c r="S54" s="13" t="s">
        <v>125</v>
      </c>
      <c r="T54" s="13" t="s">
        <v>126</v>
      </c>
      <c r="U54" s="13">
        <v>2320</v>
      </c>
      <c r="V54" s="26">
        <v>3.1E-2</v>
      </c>
      <c r="W54" s="26"/>
      <c r="X54" s="13" t="s">
        <v>125</v>
      </c>
      <c r="Y54" s="13" t="s">
        <v>211</v>
      </c>
    </row>
    <row r="55" spans="1:25" ht="15">
      <c r="A55" s="13">
        <v>133</v>
      </c>
      <c r="B55" s="13" t="s">
        <v>101</v>
      </c>
      <c r="C55" s="14">
        <v>45457</v>
      </c>
      <c r="D55" s="13">
        <v>6</v>
      </c>
      <c r="E55" s="15">
        <v>0.6875</v>
      </c>
      <c r="F55" s="13" t="s">
        <v>70</v>
      </c>
      <c r="G55" s="13" t="s">
        <v>80</v>
      </c>
      <c r="H55" s="13" t="s">
        <v>66</v>
      </c>
      <c r="I55" s="13" t="s">
        <v>66</v>
      </c>
      <c r="J55" s="13" t="s">
        <v>66</v>
      </c>
      <c r="K55" s="13" t="s">
        <v>91</v>
      </c>
      <c r="L55" s="13">
        <v>6</v>
      </c>
      <c r="M55" s="13">
        <v>62.45</v>
      </c>
      <c r="N55" s="13">
        <v>78.33</v>
      </c>
      <c r="O55" s="13">
        <v>140.78</v>
      </c>
      <c r="P55" s="13">
        <v>0</v>
      </c>
      <c r="Q55" s="13">
        <v>12.1</v>
      </c>
      <c r="R55" s="13">
        <v>6.54</v>
      </c>
      <c r="S55" s="13" t="s">
        <v>129</v>
      </c>
      <c r="T55" s="13" t="s">
        <v>130</v>
      </c>
      <c r="U55" s="13">
        <v>2320</v>
      </c>
      <c r="V55" s="26">
        <v>2.1999999999999999E-2</v>
      </c>
      <c r="W55" s="26"/>
      <c r="X55" s="13" t="s">
        <v>212</v>
      </c>
      <c r="Y55" s="13" t="s">
        <v>213</v>
      </c>
    </row>
    <row r="56" spans="1:25" ht="15">
      <c r="A56" s="13">
        <v>139</v>
      </c>
      <c r="B56" s="13" t="s">
        <v>101</v>
      </c>
      <c r="C56" s="14">
        <v>45459</v>
      </c>
      <c r="D56" s="13">
        <v>4</v>
      </c>
      <c r="E56" s="15">
        <v>0.47569444444444442</v>
      </c>
      <c r="F56" s="13" t="s">
        <v>63</v>
      </c>
      <c r="G56" s="13" t="s">
        <v>105</v>
      </c>
      <c r="H56" s="13">
        <v>29.6</v>
      </c>
      <c r="I56" s="13">
        <v>27.5</v>
      </c>
      <c r="J56" s="13">
        <v>26.1</v>
      </c>
      <c r="K56" s="13" t="s">
        <v>73</v>
      </c>
      <c r="L56" s="13">
        <v>8.91</v>
      </c>
      <c r="M56" s="13">
        <v>71.760000000000005</v>
      </c>
      <c r="N56" s="13">
        <v>73.5</v>
      </c>
      <c r="O56" s="13">
        <v>145.26</v>
      </c>
      <c r="P56" s="13">
        <v>33.340000000000003</v>
      </c>
      <c r="Q56" s="13">
        <v>14.1</v>
      </c>
      <c r="R56" s="13">
        <v>8.4</v>
      </c>
      <c r="S56" s="13" t="s">
        <v>129</v>
      </c>
      <c r="T56" s="13" t="s">
        <v>130</v>
      </c>
      <c r="U56" s="13">
        <v>2337</v>
      </c>
      <c r="V56" s="26">
        <v>0.113</v>
      </c>
      <c r="W56" s="26"/>
      <c r="X56" s="13" t="s">
        <v>212</v>
      </c>
      <c r="Y56" s="13" t="s">
        <v>213</v>
      </c>
    </row>
    <row r="57" spans="1:25" ht="15">
      <c r="A57" s="13">
        <v>143</v>
      </c>
      <c r="B57" s="13" t="s">
        <v>101</v>
      </c>
      <c r="C57" s="14">
        <v>45459</v>
      </c>
      <c r="D57" s="13">
        <v>8</v>
      </c>
      <c r="E57" s="15">
        <v>0.55208333333333337</v>
      </c>
      <c r="F57" s="13" t="s">
        <v>70</v>
      </c>
      <c r="G57" s="13" t="s">
        <v>111</v>
      </c>
      <c r="H57" s="13" t="s">
        <v>66</v>
      </c>
      <c r="I57" s="13" t="s">
        <v>66</v>
      </c>
      <c r="J57" s="13" t="s">
        <v>66</v>
      </c>
      <c r="K57" s="13" t="s">
        <v>131</v>
      </c>
      <c r="L57" s="13">
        <v>6.04</v>
      </c>
      <c r="M57" s="13">
        <v>60.15</v>
      </c>
      <c r="N57" s="13">
        <v>71.19</v>
      </c>
      <c r="O57" s="13">
        <v>131.34</v>
      </c>
      <c r="P57" s="13">
        <v>0</v>
      </c>
      <c r="Q57" s="13">
        <v>10.88</v>
      </c>
      <c r="R57" s="13">
        <v>6.3</v>
      </c>
      <c r="S57" s="13" t="s">
        <v>129</v>
      </c>
      <c r="T57" s="13" t="s">
        <v>130</v>
      </c>
      <c r="U57" s="13">
        <v>2337</v>
      </c>
      <c r="V57" s="26">
        <v>1.6E-2</v>
      </c>
      <c r="W57" s="26"/>
      <c r="X57" s="13" t="s">
        <v>212</v>
      </c>
      <c r="Y57" s="13" t="s">
        <v>213</v>
      </c>
    </row>
    <row r="58" spans="1:25" ht="15">
      <c r="A58" s="13">
        <v>144</v>
      </c>
      <c r="B58" s="13" t="s">
        <v>101</v>
      </c>
      <c r="C58" s="20">
        <v>45459</v>
      </c>
      <c r="D58" s="13">
        <v>9</v>
      </c>
      <c r="E58" s="15">
        <v>0.55555555555555558</v>
      </c>
      <c r="F58" s="13" t="s">
        <v>70</v>
      </c>
      <c r="G58" s="13" t="s">
        <v>87</v>
      </c>
      <c r="H58" s="13" t="s">
        <v>66</v>
      </c>
      <c r="I58" s="13" t="s">
        <v>66</v>
      </c>
      <c r="J58" s="13" t="s">
        <v>66</v>
      </c>
      <c r="K58" s="13" t="s">
        <v>131</v>
      </c>
      <c r="L58" s="13">
        <v>4.54</v>
      </c>
      <c r="M58" s="13">
        <v>51.48</v>
      </c>
      <c r="N58" s="13">
        <v>28.94</v>
      </c>
      <c r="O58" s="13">
        <v>80.42</v>
      </c>
      <c r="P58" s="13">
        <v>14.54</v>
      </c>
      <c r="Q58" s="13">
        <v>10.07</v>
      </c>
      <c r="R58" s="13">
        <v>6.06</v>
      </c>
      <c r="S58" s="13" t="s">
        <v>129</v>
      </c>
      <c r="T58" s="13" t="s">
        <v>130</v>
      </c>
      <c r="U58" s="13">
        <v>2337</v>
      </c>
      <c r="V58" s="26">
        <v>2.1999999999999999E-2</v>
      </c>
      <c r="W58" s="26"/>
      <c r="X58" s="13" t="s">
        <v>212</v>
      </c>
      <c r="Y58" s="13" t="s">
        <v>213</v>
      </c>
    </row>
    <row r="59" spans="1:25" ht="15">
      <c r="A59" s="13">
        <v>146</v>
      </c>
      <c r="B59" s="13" t="s">
        <v>101</v>
      </c>
      <c r="C59" s="14">
        <v>45459</v>
      </c>
      <c r="D59" s="13">
        <v>11</v>
      </c>
      <c r="E59" s="15">
        <v>0.56597222222222221</v>
      </c>
      <c r="F59" s="13" t="s">
        <v>63</v>
      </c>
      <c r="G59" s="13" t="s">
        <v>111</v>
      </c>
      <c r="H59" s="13" t="s">
        <v>66</v>
      </c>
      <c r="I59" s="13" t="s">
        <v>66</v>
      </c>
      <c r="J59" s="13" t="s">
        <v>66</v>
      </c>
      <c r="K59" s="13" t="s">
        <v>131</v>
      </c>
      <c r="L59" s="13">
        <v>10.81</v>
      </c>
      <c r="M59" s="13">
        <v>72.28</v>
      </c>
      <c r="N59" s="13">
        <v>97.48</v>
      </c>
      <c r="O59" s="13">
        <v>169.76</v>
      </c>
      <c r="P59" s="13">
        <v>0</v>
      </c>
      <c r="Q59" s="13">
        <v>13.81</v>
      </c>
      <c r="R59" s="13">
        <v>8.3800000000000008</v>
      </c>
      <c r="S59" s="24" t="s">
        <v>173</v>
      </c>
      <c r="T59" s="24" t="s">
        <v>174</v>
      </c>
      <c r="U59" s="13">
        <v>2337</v>
      </c>
      <c r="V59" s="26">
        <v>3.5999999999999997E-2</v>
      </c>
      <c r="W59" s="26" t="s">
        <v>60</v>
      </c>
      <c r="X59" s="13" t="s">
        <v>214</v>
      </c>
      <c r="Y59" s="13" t="s">
        <v>215</v>
      </c>
    </row>
    <row r="60" spans="1:25" ht="15">
      <c r="A60" s="13">
        <v>167</v>
      </c>
      <c r="B60" s="13" t="s">
        <v>88</v>
      </c>
      <c r="C60" s="14">
        <v>45582</v>
      </c>
      <c r="D60" s="13">
        <v>3</v>
      </c>
      <c r="E60" s="15">
        <v>0.5</v>
      </c>
      <c r="F60" s="19" t="s">
        <v>69</v>
      </c>
      <c r="G60" s="19" t="s">
        <v>149</v>
      </c>
      <c r="H60" s="19">
        <v>31.3</v>
      </c>
      <c r="I60" s="13">
        <v>25.5</v>
      </c>
      <c r="J60" s="13">
        <v>28.9</v>
      </c>
      <c r="K60" s="13" t="s">
        <v>91</v>
      </c>
      <c r="L60" s="19">
        <v>11.5</v>
      </c>
      <c r="M60" s="19">
        <v>70.7</v>
      </c>
      <c r="N60" s="19">
        <v>84.09</v>
      </c>
      <c r="O60" s="13">
        <v>154.79000000000002</v>
      </c>
      <c r="P60" s="19">
        <v>0</v>
      </c>
      <c r="Q60" s="19">
        <v>11.41</v>
      </c>
      <c r="R60" s="19">
        <v>7.53</v>
      </c>
      <c r="S60" s="24" t="s">
        <v>173</v>
      </c>
      <c r="T60" s="24" t="s">
        <v>174</v>
      </c>
      <c r="U60" s="24">
        <v>2301</v>
      </c>
      <c r="V60" s="26">
        <v>0.113</v>
      </c>
      <c r="W60" s="26"/>
      <c r="X60" s="13" t="s">
        <v>214</v>
      </c>
      <c r="Y60" s="13" t="s">
        <v>215</v>
      </c>
    </row>
    <row r="61" spans="1:25">
      <c r="V61">
        <v>3.2000000000000001E-2</v>
      </c>
    </row>
    <row r="81" spans="1:5">
      <c r="A81" s="25"/>
      <c r="B81" s="25"/>
      <c r="C81" s="25"/>
      <c r="D81" s="25"/>
      <c r="E81" s="25"/>
    </row>
    <row r="84" spans="1:5">
      <c r="A84" s="25"/>
      <c r="B84" s="25"/>
      <c r="C84" s="25"/>
      <c r="D84" s="25"/>
      <c r="E84" s="25"/>
    </row>
    <row r="85" spans="1:5">
      <c r="A85" s="25"/>
      <c r="B85" s="25"/>
      <c r="C85" s="25"/>
      <c r="D85" s="25"/>
      <c r="E85" s="25"/>
    </row>
  </sheetData>
  <mergeCells count="22">
    <mergeCell ref="X1:Y1"/>
    <mergeCell ref="V1:V2"/>
    <mergeCell ref="W1:W2"/>
    <mergeCell ref="S1:T1"/>
    <mergeCell ref="U1:U2"/>
    <mergeCell ref="M1:M2"/>
    <mergeCell ref="N1:N2"/>
    <mergeCell ref="O1:O2"/>
    <mergeCell ref="P1:P2"/>
    <mergeCell ref="Q1:R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 A. Romero  Y.</dc:creator>
  <cp:lastModifiedBy>Miguel Dominguez</cp:lastModifiedBy>
  <dcterms:created xsi:type="dcterms:W3CDTF">2025-02-15T22:16:21Z</dcterms:created>
  <dcterms:modified xsi:type="dcterms:W3CDTF">2025-09-06T00:23:45Z</dcterms:modified>
</cp:coreProperties>
</file>